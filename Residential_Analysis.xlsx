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/Documents/Excel/"/>
    </mc:Choice>
  </mc:AlternateContent>
  <xr:revisionPtr revIDLastSave="0" documentId="8_{48A413AB-A9F8-0746-8D18-41BCDC186BC8}" xr6:coauthVersionLast="47" xr6:coauthVersionMax="47" xr10:uidLastSave="{00000000-0000-0000-0000-000000000000}"/>
  <workbookProtection lockStructure="1"/>
  <bookViews>
    <workbookView xWindow="72960" yWindow="1340" windowWidth="38400" windowHeight="21000" activeTab="5" xr2:uid="{6D947C10-F1B6-4B45-B1BA-72E36B90574B}"/>
  </bookViews>
  <sheets>
    <sheet name="Property Summary" sheetId="1" r:id="rId1"/>
    <sheet name="Rent Roll" sheetId="2" r:id="rId2"/>
    <sheet name="Expenses" sheetId="4" r:id="rId3"/>
    <sheet name="Annual Cash Flow" sheetId="5" r:id="rId4"/>
    <sheet name="Property Returns" sheetId="3" r:id="rId5"/>
    <sheet name="Investor Returns" sheetId="6" r:id="rId6"/>
    <sheet name="Debt" sheetId="7" r:id="rId7"/>
    <sheet name="Calculations" sheetId="10" r:id="rId8"/>
    <sheet name="Property Assumptions" sheetId="11" r:id="rId9"/>
  </sheets>
  <definedNames>
    <definedName name="Analysis_Period">'Property Summary'!$C$8</definedName>
    <definedName name="Analysis_Start">'Property Summary'!$C$7</definedName>
    <definedName name="Basis">'Property Summary'!$F$6</definedName>
    <definedName name="Debt">'Property Summary'!$F$18</definedName>
    <definedName name="Discount_Rate">'Property Summary'!$C$12</definedName>
    <definedName name="Effective_Hold_Period">'Property Summary'!$C$15</definedName>
    <definedName name="Equity_Share_LPs">'Investor Returns'!$C$9</definedName>
    <definedName name="Equity_Share_Sponsor">'Investor Returns'!$C$8</definedName>
    <definedName name="GP_Only_No_LPs">'Investor Returns'!$E$8</definedName>
    <definedName name="Initial_Equity">'Property Summary'!$F$23</definedName>
    <definedName name="Preferred_Return">'Investor Returns'!$E$14</definedName>
    <definedName name="Promote_Method">'Investor Returns'!$D$4</definedName>
    <definedName name="Property_Name">'Property Summary'!$C$3</definedName>
    <definedName name="Purchase_Price">'Property Summary'!$C$18</definedName>
    <definedName name="Terminal_Cap_Year">'Property Summary'!$C$9</definedName>
    <definedName name="Total_Equity">'Investor Returns'!$D$10</definedName>
    <definedName name="Units">'Property Summary'!$F$3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6" l="1"/>
  <c r="P10" i="2"/>
  <c r="Q10" i="2"/>
  <c r="R10" i="2"/>
  <c r="P9" i="2"/>
  <c r="I4" i="1"/>
  <c r="K14" i="6"/>
  <c r="F35" i="6"/>
  <c r="F36" i="6"/>
  <c r="F34" i="6"/>
  <c r="F33" i="6"/>
  <c r="F23" i="6"/>
  <c r="F22" i="6"/>
  <c r="F21" i="6"/>
  <c r="C97" i="3" l="1"/>
  <c r="C96" i="3"/>
  <c r="O6" i="10"/>
  <c r="P6" i="10" s="1"/>
  <c r="O7" i="10"/>
  <c r="O8" i="10"/>
  <c r="O9" i="10"/>
  <c r="O5" i="10"/>
  <c r="N6" i="10"/>
  <c r="N7" i="10"/>
  <c r="N8" i="10"/>
  <c r="N9" i="10"/>
  <c r="N5" i="10"/>
  <c r="M6" i="10"/>
  <c r="M7" i="10"/>
  <c r="M8" i="10"/>
  <c r="Q8" i="10" s="1"/>
  <c r="M9" i="10"/>
  <c r="Q9" i="10" s="1"/>
  <c r="M5" i="10"/>
  <c r="Q5" i="10" s="1"/>
  <c r="L6" i="10"/>
  <c r="L7" i="10"/>
  <c r="P7" i="10" s="1"/>
  <c r="L8" i="10"/>
  <c r="L9" i="10"/>
  <c r="L5" i="10"/>
  <c r="K6" i="10"/>
  <c r="K7" i="10"/>
  <c r="K8" i="10"/>
  <c r="K9" i="10"/>
  <c r="K5" i="10"/>
  <c r="J6" i="10"/>
  <c r="J7" i="10"/>
  <c r="J8" i="10"/>
  <c r="J9" i="10"/>
  <c r="J5" i="10"/>
  <c r="C40" i="10" s="1"/>
  <c r="I6" i="10"/>
  <c r="I7" i="10"/>
  <c r="I8" i="10"/>
  <c r="I9" i="10"/>
  <c r="I5" i="10"/>
  <c r="H6" i="10"/>
  <c r="H7" i="10"/>
  <c r="H8" i="10"/>
  <c r="H9" i="10"/>
  <c r="H5" i="10"/>
  <c r="G6" i="10"/>
  <c r="G7" i="10"/>
  <c r="G8" i="10"/>
  <c r="G9" i="10"/>
  <c r="G5" i="10"/>
  <c r="F6" i="10"/>
  <c r="F7" i="10"/>
  <c r="F8" i="10"/>
  <c r="F9" i="10"/>
  <c r="F5" i="10"/>
  <c r="E6" i="10"/>
  <c r="E7" i="10"/>
  <c r="E8" i="10"/>
  <c r="E9" i="10"/>
  <c r="E5" i="10"/>
  <c r="D6" i="10"/>
  <c r="D7" i="10"/>
  <c r="D8" i="10"/>
  <c r="D9" i="10"/>
  <c r="D5" i="10"/>
  <c r="C6" i="10"/>
  <c r="C7" i="10"/>
  <c r="C8" i="10"/>
  <c r="C9" i="10"/>
  <c r="C5" i="10"/>
  <c r="B6" i="10"/>
  <c r="B7" i="10"/>
  <c r="B8" i="10"/>
  <c r="B9" i="10"/>
  <c r="C44" i="10" s="1"/>
  <c r="D82" i="10" s="1"/>
  <c r="B5" i="10"/>
  <c r="R5" i="10" s="1"/>
  <c r="C78" i="10" s="1"/>
  <c r="C9" i="1"/>
  <c r="C15" i="1" s="1"/>
  <c r="E20" i="1"/>
  <c r="I27" i="1"/>
  <c r="E5" i="11" s="1"/>
  <c r="F22" i="1"/>
  <c r="E14" i="6"/>
  <c r="K15" i="6" s="1"/>
  <c r="E15" i="6"/>
  <c r="E16" i="6"/>
  <c r="F39" i="6"/>
  <c r="D7" i="7"/>
  <c r="D30" i="3" s="1"/>
  <c r="U5" i="11"/>
  <c r="V5" i="11"/>
  <c r="L5" i="11"/>
  <c r="K5" i="11"/>
  <c r="R5" i="11"/>
  <c r="Q5" i="11"/>
  <c r="P5" i="11"/>
  <c r="O5" i="11"/>
  <c r="F5" i="11"/>
  <c r="D5" i="11"/>
  <c r="C5" i="11"/>
  <c r="F46" i="6"/>
  <c r="E8" i="6"/>
  <c r="H14" i="6"/>
  <c r="I14" i="6" s="1"/>
  <c r="B13" i="6"/>
  <c r="C9" i="6"/>
  <c r="C10" i="6" s="1"/>
  <c r="C5" i="7"/>
  <c r="D4" i="7"/>
  <c r="C71" i="3"/>
  <c r="C51" i="3"/>
  <c r="F4" i="10"/>
  <c r="B14" i="3"/>
  <c r="F4" i="2"/>
  <c r="D12" i="3"/>
  <c r="E5" i="4"/>
  <c r="E18" i="4" s="1"/>
  <c r="E20" i="4" s="1"/>
  <c r="D7" i="4"/>
  <c r="D8" i="4"/>
  <c r="D9" i="4"/>
  <c r="D10" i="4"/>
  <c r="D12" i="4"/>
  <c r="D13" i="4"/>
  <c r="B7" i="4"/>
  <c r="B8" i="4"/>
  <c r="B9" i="4"/>
  <c r="B10" i="4"/>
  <c r="B12" i="4"/>
  <c r="B13" i="4"/>
  <c r="B14" i="4"/>
  <c r="B6" i="4"/>
  <c r="P5" i="10"/>
  <c r="P9" i="10"/>
  <c r="C41" i="10"/>
  <c r="C42" i="10"/>
  <c r="C43" i="10"/>
  <c r="D76" i="10"/>
  <c r="D75" i="10" s="1"/>
  <c r="C75" i="10"/>
  <c r="D62" i="10"/>
  <c r="D61" i="10" s="1"/>
  <c r="C61" i="10"/>
  <c r="D50" i="10"/>
  <c r="D49" i="10" s="1"/>
  <c r="C49" i="10"/>
  <c r="E38" i="10"/>
  <c r="F38" i="10" s="1"/>
  <c r="D38" i="10"/>
  <c r="C37" i="10"/>
  <c r="D26" i="10"/>
  <c r="E26" i="10" s="1"/>
  <c r="F26" i="10" s="1"/>
  <c r="D25" i="10"/>
  <c r="E25" i="10"/>
  <c r="C25" i="10"/>
  <c r="C77" i="10"/>
  <c r="C63" i="10"/>
  <c r="C51" i="10"/>
  <c r="C39" i="10"/>
  <c r="C27" i="10"/>
  <c r="C15" i="10"/>
  <c r="D51" i="10" s="1"/>
  <c r="C13" i="10"/>
  <c r="D14" i="10"/>
  <c r="R9" i="10"/>
  <c r="R8" i="10"/>
  <c r="P8" i="10"/>
  <c r="R7" i="10"/>
  <c r="C80" i="10" s="1"/>
  <c r="Q7" i="10"/>
  <c r="Q6" i="10"/>
  <c r="E4" i="5"/>
  <c r="E14" i="5" s="1"/>
  <c r="F100" i="6" l="1"/>
  <c r="F87" i="6"/>
  <c r="F74" i="6"/>
  <c r="F66" i="6"/>
  <c r="F59" i="6"/>
  <c r="F61" i="6"/>
  <c r="F68" i="6"/>
  <c r="C84" i="6"/>
  <c r="C110" i="6"/>
  <c r="C97" i="6"/>
  <c r="C57" i="6"/>
  <c r="C82" i="10"/>
  <c r="C81" i="10"/>
  <c r="R6" i="10"/>
  <c r="C79" i="10" s="1"/>
  <c r="E4" i="3"/>
  <c r="F4" i="3" s="1"/>
  <c r="G4" i="3" s="1"/>
  <c r="D79" i="10"/>
  <c r="D80" i="10"/>
  <c r="D81" i="10"/>
  <c r="D78" i="10"/>
  <c r="D84" i="10" s="1"/>
  <c r="E11" i="1"/>
  <c r="N5" i="11"/>
  <c r="C84" i="10"/>
  <c r="H16" i="6"/>
  <c r="I16" i="6" s="1"/>
  <c r="H17" i="6"/>
  <c r="I17" i="6" s="1"/>
  <c r="J17" i="6" s="1"/>
  <c r="H15" i="6"/>
  <c r="I15" i="6" s="1"/>
  <c r="J14" i="6"/>
  <c r="M5" i="11"/>
  <c r="D6" i="7" s="1"/>
  <c r="D27" i="3" s="1"/>
  <c r="C72" i="3"/>
  <c r="C52" i="3"/>
  <c r="E13" i="5"/>
  <c r="E19" i="5"/>
  <c r="E15" i="5"/>
  <c r="E6" i="5"/>
  <c r="E26" i="5"/>
  <c r="E20" i="5"/>
  <c r="E16" i="5"/>
  <c r="E17" i="5"/>
  <c r="D39" i="10"/>
  <c r="F42" i="10"/>
  <c r="G80" i="10" s="1"/>
  <c r="F44" i="10"/>
  <c r="G82" i="10" s="1"/>
  <c r="F43" i="10"/>
  <c r="G81" i="10" s="1"/>
  <c r="F41" i="10"/>
  <c r="G79" i="10" s="1"/>
  <c r="F37" i="10"/>
  <c r="F40" i="10"/>
  <c r="G78" i="10" s="1"/>
  <c r="G38" i="10"/>
  <c r="E50" i="10"/>
  <c r="C32" i="10"/>
  <c r="C30" i="10"/>
  <c r="C18" i="10"/>
  <c r="C20" i="10"/>
  <c r="C29" i="10"/>
  <c r="C19" i="10"/>
  <c r="C31" i="10"/>
  <c r="C17" i="10"/>
  <c r="C28" i="10"/>
  <c r="C16" i="10"/>
  <c r="C64" i="10" s="1"/>
  <c r="D15" i="10"/>
  <c r="D27" i="10"/>
  <c r="D77" i="10"/>
  <c r="D63" i="10"/>
  <c r="E76" i="10"/>
  <c r="E37" i="10"/>
  <c r="D37" i="10"/>
  <c r="D44" i="10"/>
  <c r="E82" i="10" s="1"/>
  <c r="D41" i="10"/>
  <c r="E79" i="10" s="1"/>
  <c r="D43" i="10"/>
  <c r="E81" i="10" s="1"/>
  <c r="D42" i="10"/>
  <c r="E80" i="10" s="1"/>
  <c r="D40" i="10"/>
  <c r="E78" i="10" s="1"/>
  <c r="E44" i="10"/>
  <c r="F82" i="10" s="1"/>
  <c r="E41" i="10"/>
  <c r="F79" i="10" s="1"/>
  <c r="E43" i="10"/>
  <c r="F81" i="10" s="1"/>
  <c r="E42" i="10"/>
  <c r="F80" i="10" s="1"/>
  <c r="E40" i="10"/>
  <c r="F78" i="10" s="1"/>
  <c r="E62" i="10"/>
  <c r="G26" i="10"/>
  <c r="F25" i="10"/>
  <c r="D13" i="10"/>
  <c r="D18" i="10" s="1"/>
  <c r="E14" i="10"/>
  <c r="K16" i="6" l="1"/>
  <c r="K17" i="6"/>
  <c r="F84" i="10"/>
  <c r="H4" i="3"/>
  <c r="G84" i="10"/>
  <c r="E84" i="10"/>
  <c r="J16" i="6"/>
  <c r="J15" i="6"/>
  <c r="C55" i="10"/>
  <c r="C67" i="10"/>
  <c r="C54" i="10"/>
  <c r="C66" i="10"/>
  <c r="C52" i="10"/>
  <c r="C56" i="10"/>
  <c r="C68" i="10"/>
  <c r="C53" i="10"/>
  <c r="C65" i="10"/>
  <c r="D54" i="10"/>
  <c r="D66" i="10"/>
  <c r="C73" i="3"/>
  <c r="C53" i="3"/>
  <c r="D19" i="10"/>
  <c r="D17" i="10"/>
  <c r="E15" i="10"/>
  <c r="E51" i="10"/>
  <c r="E63" i="10"/>
  <c r="E77" i="10"/>
  <c r="E39" i="10"/>
  <c r="E27" i="10"/>
  <c r="D16" i="10"/>
  <c r="D20" i="10"/>
  <c r="F50" i="10"/>
  <c r="E49" i="10"/>
  <c r="H38" i="10"/>
  <c r="G44" i="10"/>
  <c r="H82" i="10" s="1"/>
  <c r="G43" i="10"/>
  <c r="H81" i="10" s="1"/>
  <c r="G42" i="10"/>
  <c r="H80" i="10" s="1"/>
  <c r="G41" i="10"/>
  <c r="H79" i="10" s="1"/>
  <c r="G37" i="10"/>
  <c r="G40" i="10"/>
  <c r="H78" i="10" s="1"/>
  <c r="C22" i="10"/>
  <c r="C71" i="10" s="1"/>
  <c r="F62" i="10"/>
  <c r="E61" i="10"/>
  <c r="F76" i="10"/>
  <c r="E75" i="10"/>
  <c r="D32" i="10"/>
  <c r="D28" i="10"/>
  <c r="D29" i="10"/>
  <c r="D31" i="10"/>
  <c r="D30" i="10"/>
  <c r="C34" i="10"/>
  <c r="H26" i="10"/>
  <c r="G25" i="10"/>
  <c r="F14" i="10"/>
  <c r="E13" i="10"/>
  <c r="E19" i="10" s="1"/>
  <c r="I4" i="3" l="1"/>
  <c r="H84" i="10"/>
  <c r="C58" i="10"/>
  <c r="D56" i="10"/>
  <c r="D68" i="10"/>
  <c r="D52" i="10"/>
  <c r="D64" i="10"/>
  <c r="C72" i="10"/>
  <c r="E55" i="10"/>
  <c r="E67" i="10"/>
  <c r="D55" i="10"/>
  <c r="D67" i="10"/>
  <c r="D53" i="10"/>
  <c r="D65" i="10"/>
  <c r="C74" i="3"/>
  <c r="C54" i="3"/>
  <c r="D22" i="10"/>
  <c r="D71" i="10" s="1"/>
  <c r="E32" i="10"/>
  <c r="E28" i="10"/>
  <c r="E29" i="10"/>
  <c r="E30" i="10"/>
  <c r="E31" i="10"/>
  <c r="D34" i="10"/>
  <c r="H43" i="10"/>
  <c r="I81" i="10" s="1"/>
  <c r="H44" i="10"/>
  <c r="I82" i="10" s="1"/>
  <c r="H42" i="10"/>
  <c r="I80" i="10" s="1"/>
  <c r="H41" i="10"/>
  <c r="I79" i="10" s="1"/>
  <c r="H40" i="10"/>
  <c r="I78" i="10" s="1"/>
  <c r="I38" i="10"/>
  <c r="H37" i="10"/>
  <c r="E16" i="10"/>
  <c r="E20" i="10"/>
  <c r="E18" i="10"/>
  <c r="F75" i="10"/>
  <c r="G76" i="10"/>
  <c r="G62" i="10"/>
  <c r="F61" i="10"/>
  <c r="F15" i="10"/>
  <c r="F51" i="10"/>
  <c r="F63" i="10"/>
  <c r="F77" i="10"/>
  <c r="F27" i="10"/>
  <c r="F39" i="10"/>
  <c r="E17" i="10"/>
  <c r="F49" i="10"/>
  <c r="G50" i="10"/>
  <c r="I26" i="10"/>
  <c r="H25" i="10"/>
  <c r="G14" i="10"/>
  <c r="F13" i="10"/>
  <c r="F19" i="10" s="1"/>
  <c r="J4" i="3" l="1"/>
  <c r="I84" i="10"/>
  <c r="C70" i="10"/>
  <c r="E53" i="10"/>
  <c r="E65" i="10"/>
  <c r="D72" i="10"/>
  <c r="D70" i="10" s="1"/>
  <c r="E54" i="10"/>
  <c r="E66" i="10"/>
  <c r="E56" i="10"/>
  <c r="E68" i="10"/>
  <c r="F55" i="10"/>
  <c r="F67" i="10"/>
  <c r="D58" i="10"/>
  <c r="E52" i="10"/>
  <c r="E64" i="10"/>
  <c r="C75" i="3"/>
  <c r="C55" i="3"/>
  <c r="F31" i="10"/>
  <c r="F30" i="10"/>
  <c r="F28" i="10"/>
  <c r="F29" i="10"/>
  <c r="F32" i="10"/>
  <c r="G61" i="10"/>
  <c r="H62" i="10"/>
  <c r="H76" i="10"/>
  <c r="G75" i="10"/>
  <c r="F20" i="10"/>
  <c r="F16" i="10"/>
  <c r="E22" i="10"/>
  <c r="G15" i="10"/>
  <c r="G27" i="10"/>
  <c r="G51" i="10"/>
  <c r="G63" i="10"/>
  <c r="G77" i="10"/>
  <c r="G39" i="10"/>
  <c r="E34" i="10"/>
  <c r="F17" i="10"/>
  <c r="G49" i="10"/>
  <c r="H50" i="10"/>
  <c r="I41" i="10"/>
  <c r="J79" i="10" s="1"/>
  <c r="I43" i="10"/>
  <c r="J81" i="10" s="1"/>
  <c r="I44" i="10"/>
  <c r="J82" i="10" s="1"/>
  <c r="I42" i="10"/>
  <c r="J80" i="10" s="1"/>
  <c r="I40" i="10"/>
  <c r="J78" i="10" s="1"/>
  <c r="I37" i="10"/>
  <c r="J38" i="10"/>
  <c r="F18" i="10"/>
  <c r="I25" i="10"/>
  <c r="J26" i="10"/>
  <c r="H14" i="10"/>
  <c r="G13" i="10"/>
  <c r="G18" i="10" s="1"/>
  <c r="K4" i="3" l="1"/>
  <c r="J84" i="10"/>
  <c r="E72" i="10"/>
  <c r="E58" i="10"/>
  <c r="G54" i="10"/>
  <c r="G66" i="10"/>
  <c r="F53" i="10"/>
  <c r="F65" i="10"/>
  <c r="E71" i="10"/>
  <c r="E70" i="10" s="1"/>
  <c r="G20" i="10"/>
  <c r="G17" i="10"/>
  <c r="G16" i="10"/>
  <c r="F52" i="10"/>
  <c r="F64" i="10"/>
  <c r="F54" i="10"/>
  <c r="F66" i="10"/>
  <c r="F56" i="10"/>
  <c r="F68" i="10"/>
  <c r="C76" i="3"/>
  <c r="C56" i="3"/>
  <c r="F22" i="10"/>
  <c r="F71" i="10" s="1"/>
  <c r="I62" i="10"/>
  <c r="H61" i="10"/>
  <c r="I76" i="10"/>
  <c r="H75" i="10"/>
  <c r="J43" i="10"/>
  <c r="K81" i="10" s="1"/>
  <c r="J44" i="10"/>
  <c r="K82" i="10" s="1"/>
  <c r="J42" i="10"/>
  <c r="K80" i="10" s="1"/>
  <c r="J41" i="10"/>
  <c r="K79" i="10" s="1"/>
  <c r="J40" i="10"/>
  <c r="K78" i="10" s="1"/>
  <c r="K38" i="10"/>
  <c r="J37" i="10"/>
  <c r="H15" i="10"/>
  <c r="H39" i="10"/>
  <c r="H27" i="10"/>
  <c r="H51" i="10"/>
  <c r="H63" i="10"/>
  <c r="H77" i="10"/>
  <c r="F34" i="10"/>
  <c r="H49" i="10"/>
  <c r="I50" i="10"/>
  <c r="G31" i="10"/>
  <c r="G30" i="10"/>
  <c r="G28" i="10"/>
  <c r="G29" i="10"/>
  <c r="G32" i="10"/>
  <c r="G19" i="10"/>
  <c r="J25" i="10"/>
  <c r="K26" i="10"/>
  <c r="I14" i="10"/>
  <c r="H13" i="10"/>
  <c r="L4" i="3" l="1"/>
  <c r="K84" i="10"/>
  <c r="G56" i="10"/>
  <c r="G68" i="10"/>
  <c r="F58" i="10"/>
  <c r="F72" i="10"/>
  <c r="F70" i="10" s="1"/>
  <c r="G52" i="10"/>
  <c r="G64" i="10"/>
  <c r="G53" i="10"/>
  <c r="G65" i="10"/>
  <c r="G55" i="10"/>
  <c r="G67" i="10"/>
  <c r="C77" i="3"/>
  <c r="C57" i="3"/>
  <c r="H31" i="10"/>
  <c r="H30" i="10"/>
  <c r="H28" i="10"/>
  <c r="H29" i="10"/>
  <c r="H32" i="10"/>
  <c r="I49" i="10"/>
  <c r="J50" i="10"/>
  <c r="J76" i="10"/>
  <c r="I75" i="10"/>
  <c r="H18" i="10"/>
  <c r="H17" i="10"/>
  <c r="H16" i="10"/>
  <c r="K43" i="10"/>
  <c r="L81" i="10" s="1"/>
  <c r="K44" i="10"/>
  <c r="L82" i="10" s="1"/>
  <c r="K42" i="10"/>
  <c r="L80" i="10" s="1"/>
  <c r="K40" i="10"/>
  <c r="L78" i="10" s="1"/>
  <c r="K41" i="10"/>
  <c r="L79" i="10" s="1"/>
  <c r="K37" i="10"/>
  <c r="L38" i="10"/>
  <c r="G34" i="10"/>
  <c r="H20" i="10"/>
  <c r="I15" i="10"/>
  <c r="I63" i="10"/>
  <c r="I39" i="10"/>
  <c r="I27" i="10"/>
  <c r="I51" i="10"/>
  <c r="I77" i="10"/>
  <c r="I61" i="10"/>
  <c r="J62" i="10"/>
  <c r="H19" i="10"/>
  <c r="L26" i="10"/>
  <c r="K25" i="10"/>
  <c r="J14" i="10"/>
  <c r="I13" i="10"/>
  <c r="I19" i="10" s="1"/>
  <c r="G22" i="10"/>
  <c r="G71" i="10" s="1"/>
  <c r="M4" i="3" l="1"/>
  <c r="L84" i="10"/>
  <c r="H55" i="10"/>
  <c r="H67" i="10"/>
  <c r="H53" i="10"/>
  <c r="H65" i="10"/>
  <c r="H54" i="10"/>
  <c r="H66" i="10"/>
  <c r="G58" i="10"/>
  <c r="G72" i="10"/>
  <c r="G70" i="10" s="1"/>
  <c r="H56" i="10"/>
  <c r="H68" i="10"/>
  <c r="I55" i="10"/>
  <c r="I67" i="10"/>
  <c r="H52" i="10"/>
  <c r="H64" i="10"/>
  <c r="C78" i="3"/>
  <c r="C58" i="3"/>
  <c r="I29" i="10"/>
  <c r="I31" i="10"/>
  <c r="I32" i="10"/>
  <c r="I30" i="10"/>
  <c r="I28" i="10"/>
  <c r="K76" i="10"/>
  <c r="J75" i="10"/>
  <c r="I20" i="10"/>
  <c r="J49" i="10"/>
  <c r="K50" i="10"/>
  <c r="H34" i="10"/>
  <c r="J15" i="10"/>
  <c r="J63" i="10"/>
  <c r="J39" i="10"/>
  <c r="J51" i="10"/>
  <c r="J77" i="10"/>
  <c r="J27" i="10"/>
  <c r="I16" i="10"/>
  <c r="I18" i="10"/>
  <c r="K62" i="10"/>
  <c r="J61" i="10"/>
  <c r="H22" i="10"/>
  <c r="H71" i="10" s="1"/>
  <c r="L44" i="10"/>
  <c r="M82" i="10" s="1"/>
  <c r="L42" i="10"/>
  <c r="M80" i="10" s="1"/>
  <c r="L40" i="10"/>
  <c r="M78" i="10" s="1"/>
  <c r="L41" i="10"/>
  <c r="M79" i="10" s="1"/>
  <c r="L43" i="10"/>
  <c r="M81" i="10" s="1"/>
  <c r="L37" i="10"/>
  <c r="M38" i="10"/>
  <c r="I17" i="10"/>
  <c r="L25" i="10"/>
  <c r="M26" i="10"/>
  <c r="K14" i="10"/>
  <c r="J13" i="10"/>
  <c r="J17" i="10" s="1"/>
  <c r="N4" i="3" l="1"/>
  <c r="M84" i="10"/>
  <c r="I34" i="10"/>
  <c r="H58" i="10"/>
  <c r="H72" i="10"/>
  <c r="H70" i="10" s="1"/>
  <c r="I56" i="10"/>
  <c r="I68" i="10"/>
  <c r="I54" i="10"/>
  <c r="I66" i="10"/>
  <c r="I52" i="10"/>
  <c r="I64" i="10"/>
  <c r="I53" i="10"/>
  <c r="I65" i="10"/>
  <c r="J53" i="10"/>
  <c r="J65" i="10"/>
  <c r="C79" i="3"/>
  <c r="C59" i="3"/>
  <c r="J18" i="10"/>
  <c r="L62" i="10"/>
  <c r="K61" i="10"/>
  <c r="J20" i="10"/>
  <c r="J16" i="10"/>
  <c r="K15" i="10"/>
  <c r="K51" i="10"/>
  <c r="K39" i="10"/>
  <c r="K27" i="10"/>
  <c r="K63" i="10"/>
  <c r="K77" i="10"/>
  <c r="K49" i="10"/>
  <c r="L50" i="10"/>
  <c r="M44" i="10"/>
  <c r="N82" i="10" s="1"/>
  <c r="M42" i="10"/>
  <c r="N80" i="10" s="1"/>
  <c r="M40" i="10"/>
  <c r="N78" i="10" s="1"/>
  <c r="M41" i="10"/>
  <c r="N79" i="10" s="1"/>
  <c r="M43" i="10"/>
  <c r="N81" i="10" s="1"/>
  <c r="M37" i="10"/>
  <c r="N38" i="10"/>
  <c r="J29" i="10"/>
  <c r="J30" i="10"/>
  <c r="J32" i="10"/>
  <c r="J28" i="10"/>
  <c r="J31" i="10"/>
  <c r="J19" i="10"/>
  <c r="K75" i="10"/>
  <c r="L76" i="10"/>
  <c r="M25" i="10"/>
  <c r="N26" i="10"/>
  <c r="L14" i="10"/>
  <c r="K13" i="10"/>
  <c r="I22" i="10"/>
  <c r="I71" i="10" s="1"/>
  <c r="O4" i="3" l="1"/>
  <c r="N84" i="10"/>
  <c r="I58" i="10"/>
  <c r="J55" i="10"/>
  <c r="J67" i="10"/>
  <c r="J52" i="10"/>
  <c r="J64" i="10"/>
  <c r="J56" i="10"/>
  <c r="J68" i="10"/>
  <c r="I72" i="10"/>
  <c r="I70" i="10" s="1"/>
  <c r="J54" i="10"/>
  <c r="J66" i="10"/>
  <c r="C80" i="3"/>
  <c r="C60" i="3"/>
  <c r="J34" i="10"/>
  <c r="K29" i="10"/>
  <c r="K30" i="10"/>
  <c r="K31" i="10"/>
  <c r="K32" i="10"/>
  <c r="K28" i="10"/>
  <c r="L15" i="10"/>
  <c r="L51" i="10"/>
  <c r="L39" i="10"/>
  <c r="L27" i="10"/>
  <c r="L77" i="10"/>
  <c r="L63" i="10"/>
  <c r="N44" i="10"/>
  <c r="O82" i="10" s="1"/>
  <c r="N42" i="10"/>
  <c r="O80" i="10" s="1"/>
  <c r="N40" i="10"/>
  <c r="O78" i="10" s="1"/>
  <c r="N41" i="10"/>
  <c r="O79" i="10" s="1"/>
  <c r="N43" i="10"/>
  <c r="O81" i="10" s="1"/>
  <c r="O38" i="10"/>
  <c r="N37" i="10"/>
  <c r="L61" i="10"/>
  <c r="M62" i="10"/>
  <c r="K20" i="10"/>
  <c r="K18" i="10"/>
  <c r="K16" i="10"/>
  <c r="L75" i="10"/>
  <c r="M76" i="10"/>
  <c r="M50" i="10"/>
  <c r="L49" i="10"/>
  <c r="K19" i="10"/>
  <c r="K17" i="10"/>
  <c r="O26" i="10"/>
  <c r="N25" i="10"/>
  <c r="J22" i="10"/>
  <c r="J71" i="10" s="1"/>
  <c r="L13" i="10"/>
  <c r="M14" i="10"/>
  <c r="P4" i="3" l="1"/>
  <c r="O84" i="10"/>
  <c r="J58" i="10"/>
  <c r="K52" i="10"/>
  <c r="K64" i="10"/>
  <c r="K54" i="10"/>
  <c r="K66" i="10"/>
  <c r="J72" i="10"/>
  <c r="J70" i="10" s="1"/>
  <c r="K53" i="10"/>
  <c r="K65" i="10"/>
  <c r="K55" i="10"/>
  <c r="K67" i="10"/>
  <c r="K56" i="10"/>
  <c r="K68" i="10"/>
  <c r="C81" i="3"/>
  <c r="C61" i="3"/>
  <c r="K34" i="10"/>
  <c r="L29" i="10"/>
  <c r="L30" i="10"/>
  <c r="L31" i="10"/>
  <c r="L32" i="10"/>
  <c r="L28" i="10"/>
  <c r="N50" i="10"/>
  <c r="M49" i="10"/>
  <c r="K22" i="10"/>
  <c r="K71" i="10" s="1"/>
  <c r="M75" i="10"/>
  <c r="N76" i="10"/>
  <c r="M15" i="10"/>
  <c r="M39" i="10"/>
  <c r="M51" i="10"/>
  <c r="M27" i="10"/>
  <c r="M63" i="10"/>
  <c r="M77" i="10"/>
  <c r="M61" i="10"/>
  <c r="N62" i="10"/>
  <c r="L20" i="10"/>
  <c r="L18" i="10"/>
  <c r="L16" i="10"/>
  <c r="O44" i="10"/>
  <c r="P82" i="10" s="1"/>
  <c r="O40" i="10"/>
  <c r="P78" i="10" s="1"/>
  <c r="O41" i="10"/>
  <c r="P79" i="10" s="1"/>
  <c r="O43" i="10"/>
  <c r="P81" i="10" s="1"/>
  <c r="O42" i="10"/>
  <c r="P80" i="10" s="1"/>
  <c r="P38" i="10"/>
  <c r="O37" i="10"/>
  <c r="L19" i="10"/>
  <c r="L17" i="10"/>
  <c r="P26" i="10"/>
  <c r="O25" i="10"/>
  <c r="N14" i="10"/>
  <c r="M13" i="10"/>
  <c r="M17" i="10" s="1"/>
  <c r="Q4" i="3" l="1"/>
  <c r="P84" i="10"/>
  <c r="K58" i="10"/>
  <c r="L56" i="10"/>
  <c r="L68" i="10"/>
  <c r="M53" i="10"/>
  <c r="M65" i="10"/>
  <c r="K72" i="10"/>
  <c r="K70" i="10" s="1"/>
  <c r="L55" i="10"/>
  <c r="L67" i="10"/>
  <c r="L52" i="10"/>
  <c r="L64" i="10"/>
  <c r="L54" i="10"/>
  <c r="L66" i="10"/>
  <c r="L53" i="10"/>
  <c r="L65" i="10"/>
  <c r="C82" i="3"/>
  <c r="C62" i="3"/>
  <c r="L34" i="10"/>
  <c r="M20" i="10"/>
  <c r="L22" i="10"/>
  <c r="L71" i="10" s="1"/>
  <c r="P44" i="10"/>
  <c r="Q82" i="10" s="1"/>
  <c r="P40" i="10"/>
  <c r="Q78" i="10" s="1"/>
  <c r="P41" i="10"/>
  <c r="Q79" i="10" s="1"/>
  <c r="P43" i="10"/>
  <c r="Q81" i="10" s="1"/>
  <c r="P42" i="10"/>
  <c r="Q80" i="10" s="1"/>
  <c r="Q38" i="10"/>
  <c r="P37" i="10"/>
  <c r="N15" i="10"/>
  <c r="N39" i="10"/>
  <c r="N51" i="10"/>
  <c r="N27" i="10"/>
  <c r="N63" i="10"/>
  <c r="N77" i="10"/>
  <c r="O76" i="10"/>
  <c r="N75" i="10"/>
  <c r="M29" i="10"/>
  <c r="M30" i="10"/>
  <c r="M32" i="10"/>
  <c r="M28" i="10"/>
  <c r="M31" i="10"/>
  <c r="O50" i="10"/>
  <c r="N49" i="10"/>
  <c r="M18" i="10"/>
  <c r="M16" i="10"/>
  <c r="O62" i="10"/>
  <c r="N61" i="10"/>
  <c r="M19" i="10"/>
  <c r="P25" i="10"/>
  <c r="Q26" i="10"/>
  <c r="O14" i="10"/>
  <c r="N13" i="10"/>
  <c r="R4" i="3" l="1"/>
  <c r="Q84" i="10"/>
  <c r="L58" i="10"/>
  <c r="M52" i="10"/>
  <c r="M64" i="10"/>
  <c r="L72" i="10"/>
  <c r="L70" i="10" s="1"/>
  <c r="M54" i="10"/>
  <c r="M66" i="10"/>
  <c r="M56" i="10"/>
  <c r="M68" i="10"/>
  <c r="M55" i="10"/>
  <c r="M67" i="10"/>
  <c r="C83" i="3"/>
  <c r="C63" i="3"/>
  <c r="N29" i="10"/>
  <c r="N30" i="10"/>
  <c r="N32" i="10"/>
  <c r="N31" i="10"/>
  <c r="N28" i="10"/>
  <c r="M34" i="10"/>
  <c r="M22" i="10"/>
  <c r="M71" i="10" s="1"/>
  <c r="Q43" i="10"/>
  <c r="R81" i="10" s="1"/>
  <c r="Q40" i="10"/>
  <c r="R78" i="10" s="1"/>
  <c r="Q41" i="10"/>
  <c r="R79" i="10" s="1"/>
  <c r="Q44" i="10"/>
  <c r="R82" i="10" s="1"/>
  <c r="Q42" i="10"/>
  <c r="R80" i="10" s="1"/>
  <c r="R38" i="10"/>
  <c r="Q37" i="10"/>
  <c r="N16" i="10"/>
  <c r="N19" i="10"/>
  <c r="N20" i="10"/>
  <c r="O49" i="10"/>
  <c r="P50" i="10"/>
  <c r="O15" i="10"/>
  <c r="O39" i="10"/>
  <c r="O51" i="10"/>
  <c r="O77" i="10"/>
  <c r="O27" i="10"/>
  <c r="O63" i="10"/>
  <c r="P76" i="10"/>
  <c r="O75" i="10"/>
  <c r="N18" i="10"/>
  <c r="P62" i="10"/>
  <c r="O61" i="10"/>
  <c r="N17" i="10"/>
  <c r="Q25" i="10"/>
  <c r="R26" i="10"/>
  <c r="P14" i="10"/>
  <c r="O13" i="10"/>
  <c r="O19" i="10" s="1"/>
  <c r="R84" i="10" l="1"/>
  <c r="N34" i="10"/>
  <c r="M58" i="10"/>
  <c r="N55" i="10"/>
  <c r="N67" i="10"/>
  <c r="N54" i="10"/>
  <c r="N66" i="10"/>
  <c r="N52" i="10"/>
  <c r="N64" i="10"/>
  <c r="M72" i="10"/>
  <c r="M70" i="10" s="1"/>
  <c r="N53" i="10"/>
  <c r="N65" i="10"/>
  <c r="O55" i="10"/>
  <c r="O67" i="10"/>
  <c r="N56" i="10"/>
  <c r="N68" i="10"/>
  <c r="C84" i="3"/>
  <c r="C64" i="3"/>
  <c r="P75" i="10"/>
  <c r="Q76" i="10"/>
  <c r="O18" i="10"/>
  <c r="O16" i="10"/>
  <c r="O64" i="10" s="1"/>
  <c r="Q50" i="10"/>
  <c r="P49" i="10"/>
  <c r="O28" i="10"/>
  <c r="O29" i="10"/>
  <c r="O30" i="10"/>
  <c r="O31" i="10"/>
  <c r="O32" i="10"/>
  <c r="Q62" i="10"/>
  <c r="P61" i="10"/>
  <c r="R40" i="10"/>
  <c r="S78" i="10" s="1"/>
  <c r="S84" i="10" s="1"/>
  <c r="R41" i="10"/>
  <c r="S79" i="10" s="1"/>
  <c r="R43" i="10"/>
  <c r="S81" i="10" s="1"/>
  <c r="R44" i="10"/>
  <c r="S82" i="10" s="1"/>
  <c r="R42" i="10"/>
  <c r="S80" i="10" s="1"/>
  <c r="S38" i="10"/>
  <c r="R37" i="10"/>
  <c r="O17" i="10"/>
  <c r="P15" i="10"/>
  <c r="P39" i="10"/>
  <c r="P51" i="10"/>
  <c r="P27" i="10"/>
  <c r="P77" i="10"/>
  <c r="P63" i="10"/>
  <c r="N22" i="10"/>
  <c r="N71" i="10" s="1"/>
  <c r="O20" i="10"/>
  <c r="R25" i="10"/>
  <c r="S26" i="10"/>
  <c r="Q14" i="10"/>
  <c r="P13" i="10"/>
  <c r="P20" i="10" s="1"/>
  <c r="N72" i="10" l="1"/>
  <c r="N70" i="10" s="1"/>
  <c r="N58" i="10"/>
  <c r="P56" i="10"/>
  <c r="P68" i="10"/>
  <c r="O54" i="10"/>
  <c r="O66" i="10"/>
  <c r="O53" i="10"/>
  <c r="O65" i="10"/>
  <c r="O52" i="10"/>
  <c r="O56" i="10"/>
  <c r="O68" i="10"/>
  <c r="C85" i="3"/>
  <c r="C65" i="3"/>
  <c r="O22" i="10"/>
  <c r="O71" i="10" s="1"/>
  <c r="Q15" i="10"/>
  <c r="Q77" i="10"/>
  <c r="Q39" i="10"/>
  <c r="Q51" i="10"/>
  <c r="Q27" i="10"/>
  <c r="Q63" i="10"/>
  <c r="S41" i="10"/>
  <c r="T79" i="10" s="1"/>
  <c r="S43" i="10"/>
  <c r="T81" i="10" s="1"/>
  <c r="S40" i="10"/>
  <c r="T78" i="10" s="1"/>
  <c r="S42" i="10"/>
  <c r="T80" i="10" s="1"/>
  <c r="S44" i="10"/>
  <c r="T82" i="10" s="1"/>
  <c r="T38" i="10"/>
  <c r="S37" i="10"/>
  <c r="P19" i="10"/>
  <c r="P17" i="10"/>
  <c r="Q49" i="10"/>
  <c r="R50" i="10"/>
  <c r="P28" i="10"/>
  <c r="P29" i="10"/>
  <c r="P30" i="10"/>
  <c r="P31" i="10"/>
  <c r="P32" i="10"/>
  <c r="P16" i="10"/>
  <c r="Q61" i="10"/>
  <c r="R62" i="10"/>
  <c r="Q75" i="10"/>
  <c r="R76" i="10"/>
  <c r="O34" i="10"/>
  <c r="P18" i="10"/>
  <c r="S25" i="10"/>
  <c r="T26" i="10"/>
  <c r="R14" i="10"/>
  <c r="Q13" i="10"/>
  <c r="T84" i="10" l="1"/>
  <c r="O58" i="10"/>
  <c r="P54" i="10"/>
  <c r="P66" i="10"/>
  <c r="P53" i="10"/>
  <c r="P65" i="10"/>
  <c r="O72" i="10"/>
  <c r="O70" i="10" s="1"/>
  <c r="P52" i="10"/>
  <c r="P64" i="10"/>
  <c r="P55" i="10"/>
  <c r="P67" i="10"/>
  <c r="P22" i="10"/>
  <c r="P71" i="10" s="1"/>
  <c r="Q28" i="10"/>
  <c r="Q29" i="10"/>
  <c r="Q30" i="10"/>
  <c r="Q31" i="10"/>
  <c r="Q32" i="10"/>
  <c r="R18" i="10"/>
  <c r="R16" i="10"/>
  <c r="Q20" i="10"/>
  <c r="Q16" i="10"/>
  <c r="Q18" i="10"/>
  <c r="Q19" i="10"/>
  <c r="S62" i="10"/>
  <c r="R61" i="10"/>
  <c r="T41" i="10"/>
  <c r="U79" i="10" s="1"/>
  <c r="T43" i="10"/>
  <c r="U81" i="10" s="1"/>
  <c r="T40" i="10"/>
  <c r="U78" i="10" s="1"/>
  <c r="T42" i="10"/>
  <c r="U80" i="10" s="1"/>
  <c r="T44" i="10"/>
  <c r="U82" i="10" s="1"/>
  <c r="U38" i="10"/>
  <c r="T37" i="10"/>
  <c r="P34" i="10"/>
  <c r="R75" i="10"/>
  <c r="S76" i="10"/>
  <c r="Q17" i="10"/>
  <c r="S50" i="10"/>
  <c r="R49" i="10"/>
  <c r="R15" i="10"/>
  <c r="R77" i="10"/>
  <c r="R39" i="10"/>
  <c r="R51" i="10"/>
  <c r="R27" i="10"/>
  <c r="R63" i="10"/>
  <c r="U26" i="10"/>
  <c r="T25" i="10"/>
  <c r="S14" i="10"/>
  <c r="R13" i="10"/>
  <c r="R17" i="10" s="1"/>
  <c r="U84" i="10" l="1"/>
  <c r="P58" i="10"/>
  <c r="Q55" i="10"/>
  <c r="Q67" i="10"/>
  <c r="P72" i="10"/>
  <c r="Q53" i="10"/>
  <c r="Q65" i="10"/>
  <c r="R52" i="10"/>
  <c r="R64" i="10"/>
  <c r="P70" i="10"/>
  <c r="R53" i="10"/>
  <c r="R65" i="10"/>
  <c r="Q54" i="10"/>
  <c r="Q66" i="10"/>
  <c r="Q52" i="10"/>
  <c r="Q64" i="10"/>
  <c r="Q56" i="10"/>
  <c r="Q68" i="10"/>
  <c r="R54" i="10"/>
  <c r="R66" i="10"/>
  <c r="R19" i="10"/>
  <c r="R20" i="10"/>
  <c r="T62" i="10"/>
  <c r="S61" i="10"/>
  <c r="S75" i="10"/>
  <c r="T76" i="10"/>
  <c r="Q22" i="10"/>
  <c r="Q71" i="10" s="1"/>
  <c r="U41" i="10"/>
  <c r="V79" i="10" s="1"/>
  <c r="U43" i="10"/>
  <c r="V81" i="10" s="1"/>
  <c r="U42" i="10"/>
  <c r="V80" i="10" s="1"/>
  <c r="U40" i="10"/>
  <c r="V78" i="10" s="1"/>
  <c r="U44" i="10"/>
  <c r="V82" i="10" s="1"/>
  <c r="V38" i="10"/>
  <c r="U37" i="10"/>
  <c r="S49" i="10"/>
  <c r="T50" i="10"/>
  <c r="S15" i="10"/>
  <c r="S63" i="10"/>
  <c r="S77" i="10"/>
  <c r="S39" i="10"/>
  <c r="S27" i="10"/>
  <c r="S51" i="10"/>
  <c r="R32" i="10"/>
  <c r="R28" i="10"/>
  <c r="R29" i="10"/>
  <c r="R30" i="10"/>
  <c r="R31" i="10"/>
  <c r="Q34" i="10"/>
  <c r="V26" i="10"/>
  <c r="U25" i="10"/>
  <c r="T14" i="10"/>
  <c r="S13" i="10"/>
  <c r="V84" i="10" l="1"/>
  <c r="Q58" i="10"/>
  <c r="R56" i="10"/>
  <c r="R68" i="10"/>
  <c r="R55" i="10"/>
  <c r="R58" i="10" s="1"/>
  <c r="R67" i="10"/>
  <c r="Q72" i="10"/>
  <c r="Q70" i="10" s="1"/>
  <c r="R22" i="10"/>
  <c r="R71" i="10" s="1"/>
  <c r="V42" i="10"/>
  <c r="W80" i="10" s="1"/>
  <c r="V41" i="10"/>
  <c r="W79" i="10" s="1"/>
  <c r="V43" i="10"/>
  <c r="W81" i="10" s="1"/>
  <c r="V40" i="10"/>
  <c r="W78" i="10" s="1"/>
  <c r="V44" i="10"/>
  <c r="W82" i="10" s="1"/>
  <c r="W38" i="10"/>
  <c r="V37" i="10"/>
  <c r="S32" i="10"/>
  <c r="S29" i="10"/>
  <c r="S30" i="10"/>
  <c r="S31" i="10"/>
  <c r="S28" i="10"/>
  <c r="S16" i="10"/>
  <c r="T15" i="10"/>
  <c r="T63" i="10"/>
  <c r="T39" i="10"/>
  <c r="T51" i="10"/>
  <c r="T77" i="10"/>
  <c r="T27" i="10"/>
  <c r="S19" i="10"/>
  <c r="R34" i="10"/>
  <c r="T75" i="10"/>
  <c r="U76" i="10"/>
  <c r="U50" i="10"/>
  <c r="T49" i="10"/>
  <c r="S17" i="10"/>
  <c r="S20" i="10"/>
  <c r="U62" i="10"/>
  <c r="T61" i="10"/>
  <c r="S18" i="10"/>
  <c r="W26" i="10"/>
  <c r="V25" i="10"/>
  <c r="U14" i="10"/>
  <c r="T13" i="10"/>
  <c r="W84" i="10" l="1"/>
  <c r="R72" i="10"/>
  <c r="R70" i="10" s="1"/>
  <c r="S34" i="10"/>
  <c r="S52" i="10"/>
  <c r="S64" i="10"/>
  <c r="S54" i="10"/>
  <c r="S66" i="10"/>
  <c r="S55" i="10"/>
  <c r="S67" i="10"/>
  <c r="S56" i="10"/>
  <c r="S68" i="10"/>
  <c r="S53" i="10"/>
  <c r="S65" i="10"/>
  <c r="S22" i="10"/>
  <c r="S71" i="10" s="1"/>
  <c r="T32" i="10"/>
  <c r="T29" i="10"/>
  <c r="T30" i="10"/>
  <c r="T31" i="10"/>
  <c r="T28" i="10"/>
  <c r="T17" i="10"/>
  <c r="T18" i="10"/>
  <c r="T16" i="10"/>
  <c r="V50" i="10"/>
  <c r="U49" i="10"/>
  <c r="U15" i="10"/>
  <c r="U63" i="10"/>
  <c r="U77" i="10"/>
  <c r="U39" i="10"/>
  <c r="U27" i="10"/>
  <c r="U51" i="10"/>
  <c r="W43" i="10"/>
  <c r="X81" i="10" s="1"/>
  <c r="W42" i="10"/>
  <c r="X80" i="10" s="1"/>
  <c r="W44" i="10"/>
  <c r="X82" i="10" s="1"/>
  <c r="W41" i="10"/>
  <c r="X79" i="10" s="1"/>
  <c r="W40" i="10"/>
  <c r="X78" i="10" s="1"/>
  <c r="W37" i="10"/>
  <c r="X38" i="10"/>
  <c r="T19" i="10"/>
  <c r="T20" i="10"/>
  <c r="V76" i="10"/>
  <c r="U75" i="10"/>
  <c r="U61" i="10"/>
  <c r="V62" i="10"/>
  <c r="X26" i="10"/>
  <c r="W25" i="10"/>
  <c r="V14" i="10"/>
  <c r="U13" i="10"/>
  <c r="X84" i="10" l="1"/>
  <c r="S58" i="10"/>
  <c r="T56" i="10"/>
  <c r="T68" i="10"/>
  <c r="S72" i="10"/>
  <c r="S70" i="10"/>
  <c r="T55" i="10"/>
  <c r="T67" i="10"/>
  <c r="T34" i="10"/>
  <c r="T52" i="10"/>
  <c r="T64" i="10"/>
  <c r="T54" i="10"/>
  <c r="T66" i="10"/>
  <c r="T53" i="10"/>
  <c r="T65" i="10"/>
  <c r="U32" i="10"/>
  <c r="U29" i="10"/>
  <c r="U30" i="10"/>
  <c r="U31" i="10"/>
  <c r="U28" i="10"/>
  <c r="U20" i="10"/>
  <c r="X44" i="10"/>
  <c r="Y82" i="10" s="1"/>
  <c r="X43" i="10"/>
  <c r="Y81" i="10" s="1"/>
  <c r="X42" i="10"/>
  <c r="Y80" i="10" s="1"/>
  <c r="X40" i="10"/>
  <c r="Y78" i="10" s="1"/>
  <c r="X41" i="10"/>
  <c r="Y79" i="10" s="1"/>
  <c r="Y38" i="10"/>
  <c r="X37" i="10"/>
  <c r="W76" i="10"/>
  <c r="V75" i="10"/>
  <c r="T22" i="10"/>
  <c r="T71" i="10" s="1"/>
  <c r="V15" i="10"/>
  <c r="V51" i="10"/>
  <c r="V77" i="10"/>
  <c r="V39" i="10"/>
  <c r="V63" i="10"/>
  <c r="V27" i="10"/>
  <c r="U18" i="10"/>
  <c r="U16" i="10"/>
  <c r="U19" i="10"/>
  <c r="W50" i="10"/>
  <c r="V49" i="10"/>
  <c r="W62" i="10"/>
  <c r="V61" i="10"/>
  <c r="U17" i="10"/>
  <c r="X25" i="10"/>
  <c r="Y26" i="10"/>
  <c r="W14" i="10"/>
  <c r="V13" i="10"/>
  <c r="T58" i="10" l="1"/>
  <c r="Y84" i="10"/>
  <c r="U53" i="10"/>
  <c r="U65" i="10"/>
  <c r="U55" i="10"/>
  <c r="U67" i="10"/>
  <c r="T72" i="10"/>
  <c r="U56" i="10"/>
  <c r="U68" i="10"/>
  <c r="U34" i="10"/>
  <c r="T70" i="10"/>
  <c r="U52" i="10"/>
  <c r="U64" i="10"/>
  <c r="U54" i="10"/>
  <c r="U66" i="10"/>
  <c r="V31" i="10"/>
  <c r="V29" i="10"/>
  <c r="V28" i="10"/>
  <c r="V30" i="10"/>
  <c r="V32" i="10"/>
  <c r="V16" i="10"/>
  <c r="V20" i="10"/>
  <c r="W49" i="10"/>
  <c r="X50" i="10"/>
  <c r="Y41" i="10"/>
  <c r="Z79" i="10" s="1"/>
  <c r="Y44" i="10"/>
  <c r="Z82" i="10" s="1"/>
  <c r="Y43" i="10"/>
  <c r="Z81" i="10" s="1"/>
  <c r="Y42" i="10"/>
  <c r="Z80" i="10" s="1"/>
  <c r="Y40" i="10"/>
  <c r="Z78" i="10" s="1"/>
  <c r="Z38" i="10"/>
  <c r="Y37" i="10"/>
  <c r="V19" i="10"/>
  <c r="V18" i="10"/>
  <c r="X76" i="10"/>
  <c r="W75" i="10"/>
  <c r="W15" i="10"/>
  <c r="W27" i="10"/>
  <c r="W51" i="10"/>
  <c r="W63" i="10"/>
  <c r="W77" i="10"/>
  <c r="W39" i="10"/>
  <c r="X62" i="10"/>
  <c r="W61" i="10"/>
  <c r="V17" i="10"/>
  <c r="Z26" i="10"/>
  <c r="Y25" i="10"/>
  <c r="X14" i="10"/>
  <c r="W13" i="10"/>
  <c r="U22" i="10"/>
  <c r="U71" i="10" s="1"/>
  <c r="Z84" i="10" l="1"/>
  <c r="U58" i="10"/>
  <c r="U72" i="10"/>
  <c r="U70" i="10" s="1"/>
  <c r="V52" i="10"/>
  <c r="V64" i="10"/>
  <c r="V53" i="10"/>
  <c r="V65" i="10"/>
  <c r="V54" i="10"/>
  <c r="V66" i="10"/>
  <c r="V55" i="10"/>
  <c r="V67" i="10"/>
  <c r="V56" i="10"/>
  <c r="V68" i="10"/>
  <c r="W31" i="10"/>
  <c r="W28" i="10"/>
  <c r="W30" i="10"/>
  <c r="W32" i="10"/>
  <c r="W29" i="10"/>
  <c r="X49" i="10"/>
  <c r="Y50" i="10"/>
  <c r="X17" i="10"/>
  <c r="X20" i="10"/>
  <c r="W16" i="10"/>
  <c r="Y76" i="10"/>
  <c r="X75" i="10"/>
  <c r="W20" i="10"/>
  <c r="W19" i="10"/>
  <c r="V34" i="10"/>
  <c r="W18" i="10"/>
  <c r="X15" i="10"/>
  <c r="X27" i="10"/>
  <c r="X51" i="10"/>
  <c r="X63" i="10"/>
  <c r="X77" i="10"/>
  <c r="X39" i="10"/>
  <c r="W17" i="10"/>
  <c r="Z44" i="10"/>
  <c r="AA82" i="10" s="1"/>
  <c r="Z43" i="10"/>
  <c r="AA81" i="10" s="1"/>
  <c r="Z42" i="10"/>
  <c r="AA80" i="10" s="1"/>
  <c r="Z40" i="10"/>
  <c r="AA78" i="10" s="1"/>
  <c r="Z41" i="10"/>
  <c r="AA79" i="10" s="1"/>
  <c r="AA38" i="10"/>
  <c r="Z37" i="10"/>
  <c r="X61" i="10"/>
  <c r="Y62" i="10"/>
  <c r="Z25" i="10"/>
  <c r="AA26" i="10"/>
  <c r="V22" i="10"/>
  <c r="V71" i="10" s="1"/>
  <c r="Y14" i="10"/>
  <c r="X13" i="10"/>
  <c r="X16" i="10" s="1"/>
  <c r="AA84" i="10" l="1"/>
  <c r="V58" i="10"/>
  <c r="W56" i="10"/>
  <c r="W68" i="10"/>
  <c r="W52" i="10"/>
  <c r="W64" i="10"/>
  <c r="W53" i="10"/>
  <c r="W65" i="10"/>
  <c r="V72" i="10"/>
  <c r="V70" i="10" s="1"/>
  <c r="X56" i="10"/>
  <c r="X68" i="10"/>
  <c r="W54" i="10"/>
  <c r="W66" i="10"/>
  <c r="X52" i="10"/>
  <c r="X64" i="10"/>
  <c r="W55" i="10"/>
  <c r="W67" i="10"/>
  <c r="X53" i="10"/>
  <c r="X65" i="10"/>
  <c r="X19" i="10"/>
  <c r="X18" i="10"/>
  <c r="W22" i="10"/>
  <c r="W71" i="10" s="1"/>
  <c r="Y75" i="10"/>
  <c r="Z76" i="10"/>
  <c r="Z62" i="10"/>
  <c r="Y61" i="10"/>
  <c r="Z50" i="10"/>
  <c r="Y49" i="10"/>
  <c r="X31" i="10"/>
  <c r="X28" i="10"/>
  <c r="X30" i="10"/>
  <c r="X32" i="10"/>
  <c r="X29" i="10"/>
  <c r="W34" i="10"/>
  <c r="Y15" i="10"/>
  <c r="Y51" i="10"/>
  <c r="Y27" i="10"/>
  <c r="Y63" i="10"/>
  <c r="Y77" i="10"/>
  <c r="Y39" i="10"/>
  <c r="AA44" i="10"/>
  <c r="AB82" i="10" s="1"/>
  <c r="AA43" i="10"/>
  <c r="AB81" i="10" s="1"/>
  <c r="AA42" i="10"/>
  <c r="AB80" i="10" s="1"/>
  <c r="AA40" i="10"/>
  <c r="AB78" i="10" s="1"/>
  <c r="AA41" i="10"/>
  <c r="AB79" i="10" s="1"/>
  <c r="AB38" i="10"/>
  <c r="AA37" i="10"/>
  <c r="AA25" i="10"/>
  <c r="AB26" i="10"/>
  <c r="Z14" i="10"/>
  <c r="Y13" i="10"/>
  <c r="Y16" i="10" s="1"/>
  <c r="AB84" i="10" l="1"/>
  <c r="W58" i="10"/>
  <c r="W72" i="10"/>
  <c r="W70" i="10"/>
  <c r="X54" i="10"/>
  <c r="X66" i="10"/>
  <c r="X55" i="10"/>
  <c r="X67" i="10"/>
  <c r="Y52" i="10"/>
  <c r="Y64" i="10"/>
  <c r="X22" i="10"/>
  <c r="X71" i="10" s="1"/>
  <c r="Y20" i="10"/>
  <c r="Y18" i="10"/>
  <c r="AB44" i="10"/>
  <c r="AC82" i="10" s="1"/>
  <c r="AB42" i="10"/>
  <c r="AC80" i="10" s="1"/>
  <c r="AB43" i="10"/>
  <c r="AC81" i="10" s="1"/>
  <c r="AB40" i="10"/>
  <c r="AC78" i="10" s="1"/>
  <c r="AB41" i="10"/>
  <c r="AC79" i="10" s="1"/>
  <c r="AC38" i="10"/>
  <c r="AB37" i="10"/>
  <c r="X34" i="10"/>
  <c r="Y19" i="10"/>
  <c r="AA62" i="10"/>
  <c r="Z61" i="10"/>
  <c r="AA76" i="10"/>
  <c r="Z75" i="10"/>
  <c r="Z15" i="10"/>
  <c r="Z51" i="10"/>
  <c r="Z63" i="10"/>
  <c r="Z77" i="10"/>
  <c r="Z27" i="10"/>
  <c r="Z39" i="10"/>
  <c r="Y31" i="10"/>
  <c r="Y29" i="10"/>
  <c r="Y28" i="10"/>
  <c r="Y30" i="10"/>
  <c r="Y32" i="10"/>
  <c r="Y17" i="10"/>
  <c r="AA50" i="10"/>
  <c r="Z49" i="10"/>
  <c r="AC26" i="10"/>
  <c r="AB25" i="10"/>
  <c r="AA14" i="10"/>
  <c r="Z13" i="10"/>
  <c r="Z16" i="10" s="1"/>
  <c r="AC84" i="10" l="1"/>
  <c r="X72" i="10"/>
  <c r="X58" i="10"/>
  <c r="Z52" i="10"/>
  <c r="Z64" i="10"/>
  <c r="X70" i="10"/>
  <c r="Y55" i="10"/>
  <c r="Y67" i="10"/>
  <c r="Y54" i="10"/>
  <c r="Y66" i="10"/>
  <c r="Y56" i="10"/>
  <c r="Y68" i="10"/>
  <c r="Y53" i="10"/>
  <c r="Y65" i="10"/>
  <c r="Y72" i="10" s="1"/>
  <c r="Y22" i="10"/>
  <c r="Y71" i="10" s="1"/>
  <c r="Z19" i="10"/>
  <c r="Z29" i="10"/>
  <c r="Z30" i="10"/>
  <c r="Z28" i="10"/>
  <c r="Z31" i="10"/>
  <c r="Z32" i="10"/>
  <c r="Z20" i="10"/>
  <c r="Z18" i="10"/>
  <c r="Z17" i="10"/>
  <c r="AA15" i="10"/>
  <c r="AA51" i="10"/>
  <c r="AA27" i="10"/>
  <c r="AA63" i="10"/>
  <c r="AA77" i="10"/>
  <c r="AA39" i="10"/>
  <c r="Y34" i="10"/>
  <c r="AC44" i="10"/>
  <c r="AD82" i="10" s="1"/>
  <c r="AC42" i="10"/>
  <c r="AD80" i="10" s="1"/>
  <c r="AC43" i="10"/>
  <c r="AD81" i="10" s="1"/>
  <c r="AC40" i="10"/>
  <c r="AD78" i="10" s="1"/>
  <c r="AC41" i="10"/>
  <c r="AD79" i="10" s="1"/>
  <c r="AC37" i="10"/>
  <c r="AD38" i="10"/>
  <c r="AB76" i="10"/>
  <c r="AA75" i="10"/>
  <c r="AB50" i="10"/>
  <c r="AA49" i="10"/>
  <c r="AB62" i="10"/>
  <c r="AA61" i="10"/>
  <c r="AC25" i="10"/>
  <c r="AD26" i="10"/>
  <c r="AB14" i="10"/>
  <c r="AA13" i="10"/>
  <c r="AA19" i="10" s="1"/>
  <c r="AD84" i="10" l="1"/>
  <c r="Y70" i="10"/>
  <c r="Y58" i="10"/>
  <c r="Z55" i="10"/>
  <c r="Z67" i="10"/>
  <c r="Z53" i="10"/>
  <c r="Z65" i="10"/>
  <c r="AA55" i="10"/>
  <c r="AA67" i="10"/>
  <c r="Z54" i="10"/>
  <c r="Z66" i="10"/>
  <c r="Z56" i="10"/>
  <c r="Z68" i="10"/>
  <c r="AC50" i="10"/>
  <c r="AB49" i="10"/>
  <c r="AB75" i="10"/>
  <c r="AC76" i="10"/>
  <c r="AB15" i="10"/>
  <c r="AB51" i="10"/>
  <c r="AB39" i="10"/>
  <c r="AB27" i="10"/>
  <c r="AB63" i="10"/>
  <c r="AB77" i="10"/>
  <c r="Z22" i="10"/>
  <c r="Z71" i="10" s="1"/>
  <c r="AA16" i="10"/>
  <c r="AA20" i="10"/>
  <c r="AA29" i="10"/>
  <c r="AA30" i="10"/>
  <c r="AA31" i="10"/>
  <c r="AA28" i="10"/>
  <c r="AA32" i="10"/>
  <c r="AD44" i="10"/>
  <c r="AE82" i="10" s="1"/>
  <c r="AD42" i="10"/>
  <c r="AE80" i="10" s="1"/>
  <c r="AD43" i="10"/>
  <c r="AE81" i="10" s="1"/>
  <c r="AD40" i="10"/>
  <c r="AE78" i="10" s="1"/>
  <c r="AD41" i="10"/>
  <c r="AE79" i="10" s="1"/>
  <c r="AE38" i="10"/>
  <c r="AD37" i="10"/>
  <c r="AA17" i="10"/>
  <c r="Z34" i="10"/>
  <c r="AA18" i="10"/>
  <c r="AB61" i="10"/>
  <c r="AC62" i="10"/>
  <c r="AE26" i="10"/>
  <c r="AD25" i="10"/>
  <c r="AC14" i="10"/>
  <c r="AB13" i="10"/>
  <c r="AB16" i="10" s="1"/>
  <c r="AB64" i="10" s="1"/>
  <c r="AE84" i="10" l="1"/>
  <c r="Z72" i="10"/>
  <c r="Z70" i="10" s="1"/>
  <c r="AA52" i="10"/>
  <c r="AA64" i="10"/>
  <c r="AA56" i="10"/>
  <c r="AA68" i="10"/>
  <c r="AA54" i="10"/>
  <c r="AA66" i="10"/>
  <c r="AA53" i="10"/>
  <c r="AA65" i="10"/>
  <c r="Z58" i="10"/>
  <c r="AB52" i="10"/>
  <c r="AA22" i="10"/>
  <c r="AA71" i="10" s="1"/>
  <c r="AB20" i="10"/>
  <c r="AE44" i="10"/>
  <c r="AF82" i="10" s="1"/>
  <c r="AE42" i="10"/>
  <c r="AF80" i="10" s="1"/>
  <c r="AE43" i="10"/>
  <c r="AF81" i="10" s="1"/>
  <c r="AE40" i="10"/>
  <c r="AF78" i="10" s="1"/>
  <c r="AE41" i="10"/>
  <c r="AF79" i="10" s="1"/>
  <c r="AE37" i="10"/>
  <c r="AF38" i="10"/>
  <c r="AC15" i="10"/>
  <c r="AC39" i="10"/>
  <c r="AC51" i="10"/>
  <c r="AC63" i="10"/>
  <c r="AC27" i="10"/>
  <c r="AC77" i="10"/>
  <c r="AB17" i="10"/>
  <c r="AA34" i="10"/>
  <c r="AC61" i="10"/>
  <c r="AD62" i="10"/>
  <c r="AB18" i="10"/>
  <c r="AD76" i="10"/>
  <c r="AC75" i="10"/>
  <c r="AC49" i="10"/>
  <c r="AD50" i="10"/>
  <c r="AB29" i="10"/>
  <c r="AB30" i="10"/>
  <c r="AB31" i="10"/>
  <c r="AB28" i="10"/>
  <c r="AB32" i="10"/>
  <c r="AB19" i="10"/>
  <c r="AF26" i="10"/>
  <c r="AE25" i="10"/>
  <c r="AD14" i="10"/>
  <c r="AC13" i="10"/>
  <c r="AC16" i="10" s="1"/>
  <c r="AA58" i="10" l="1"/>
  <c r="AC17" i="10"/>
  <c r="AC18" i="10"/>
  <c r="AC54" i="10" s="1"/>
  <c r="AF84" i="10"/>
  <c r="AB56" i="10"/>
  <c r="AB68" i="10"/>
  <c r="AB54" i="10"/>
  <c r="AB66" i="10"/>
  <c r="AB55" i="10"/>
  <c r="AB67" i="10"/>
  <c r="AB53" i="10"/>
  <c r="AB65" i="10"/>
  <c r="AC53" i="10"/>
  <c r="AC65" i="10"/>
  <c r="AA72" i="10"/>
  <c r="AA70" i="10" s="1"/>
  <c r="AC52" i="10"/>
  <c r="AC64" i="10"/>
  <c r="AB34" i="10"/>
  <c r="AD75" i="10"/>
  <c r="AE76" i="10"/>
  <c r="AD61" i="10"/>
  <c r="AE62" i="10"/>
  <c r="AF43" i="10"/>
  <c r="AG81" i="10" s="1"/>
  <c r="AF40" i="10"/>
  <c r="AG78" i="10" s="1"/>
  <c r="AF41" i="10"/>
  <c r="AG79" i="10" s="1"/>
  <c r="AF44" i="10"/>
  <c r="AG82" i="10" s="1"/>
  <c r="AF42" i="10"/>
  <c r="AG80" i="10" s="1"/>
  <c r="AG38" i="10"/>
  <c r="AF37" i="10"/>
  <c r="AE50" i="10"/>
  <c r="AD49" i="10"/>
  <c r="AC29" i="10"/>
  <c r="AC30" i="10"/>
  <c r="AC32" i="10"/>
  <c r="AC28" i="10"/>
  <c r="AC31" i="10"/>
  <c r="AC19" i="10"/>
  <c r="AB22" i="10"/>
  <c r="AB71" i="10" s="1"/>
  <c r="AD15" i="10"/>
  <c r="AD39" i="10"/>
  <c r="AD51" i="10"/>
  <c r="AD27" i="10"/>
  <c r="AD63" i="10"/>
  <c r="AD77" i="10"/>
  <c r="AC20" i="10"/>
  <c r="AG26" i="10"/>
  <c r="AF25" i="10"/>
  <c r="AE14" i="10"/>
  <c r="AD13" i="10"/>
  <c r="AC66" i="10" l="1"/>
  <c r="AB72" i="10"/>
  <c r="AC22" i="10"/>
  <c r="AC71" i="10" s="1"/>
  <c r="AG84" i="10"/>
  <c r="AB58" i="10"/>
  <c r="AC56" i="10"/>
  <c r="AC68" i="10"/>
  <c r="AB70" i="10"/>
  <c r="AC55" i="10"/>
  <c r="AC67" i="10"/>
  <c r="AD30" i="10"/>
  <c r="AD29" i="10"/>
  <c r="AD32" i="10"/>
  <c r="AD28" i="10"/>
  <c r="AD31" i="10"/>
  <c r="AF62" i="10"/>
  <c r="AE61" i="10"/>
  <c r="AD17" i="10"/>
  <c r="AD16" i="10"/>
  <c r="AD20" i="10"/>
  <c r="AF76" i="10"/>
  <c r="AE75" i="10"/>
  <c r="AF50" i="10"/>
  <c r="AE49" i="10"/>
  <c r="AE15" i="10"/>
  <c r="AE39" i="10"/>
  <c r="AE51" i="10"/>
  <c r="AE63" i="10"/>
  <c r="AE27" i="10"/>
  <c r="AE77" i="10"/>
  <c r="AC34" i="10"/>
  <c r="AD19" i="10"/>
  <c r="AG43" i="10"/>
  <c r="AH81" i="10" s="1"/>
  <c r="AG40" i="10"/>
  <c r="AH78" i="10" s="1"/>
  <c r="AG41" i="10"/>
  <c r="AH79" i="10" s="1"/>
  <c r="AG44" i="10"/>
  <c r="AH82" i="10" s="1"/>
  <c r="AG42" i="10"/>
  <c r="AH80" i="10" s="1"/>
  <c r="AG37" i="10"/>
  <c r="AH38" i="10"/>
  <c r="AD18" i="10"/>
  <c r="AG25" i="10"/>
  <c r="AH26" i="10"/>
  <c r="AF14" i="10"/>
  <c r="AE13" i="10"/>
  <c r="AH84" i="10" l="1"/>
  <c r="AC58" i="10"/>
  <c r="AC72" i="10"/>
  <c r="AC70" i="10" s="1"/>
  <c r="AD53" i="10"/>
  <c r="AD65" i="10"/>
  <c r="AD55" i="10"/>
  <c r="AD67" i="10"/>
  <c r="AD54" i="10"/>
  <c r="AD66" i="10"/>
  <c r="AD56" i="10"/>
  <c r="AD68" i="10"/>
  <c r="AD52" i="10"/>
  <c r="AD64" i="10"/>
  <c r="AD22" i="10"/>
  <c r="AD71" i="10" s="1"/>
  <c r="AE28" i="10"/>
  <c r="AE30" i="10"/>
  <c r="AE29" i="10"/>
  <c r="AE32" i="10"/>
  <c r="AE31" i="10"/>
  <c r="AD34" i="10"/>
  <c r="AF15" i="10"/>
  <c r="AF39" i="10"/>
  <c r="AF51" i="10"/>
  <c r="AF63" i="10"/>
  <c r="AF27" i="10"/>
  <c r="AF77" i="10"/>
  <c r="AG50" i="10"/>
  <c r="AF49" i="10"/>
  <c r="AG76" i="10"/>
  <c r="AF75" i="10"/>
  <c r="AE19" i="10"/>
  <c r="AE18" i="10"/>
  <c r="AE16" i="10"/>
  <c r="AE20" i="10"/>
  <c r="AE17" i="10"/>
  <c r="AG62" i="10"/>
  <c r="AF61" i="10"/>
  <c r="AH40" i="10"/>
  <c r="AI78" i="10" s="1"/>
  <c r="AH41" i="10"/>
  <c r="AI79" i="10" s="1"/>
  <c r="AH44" i="10"/>
  <c r="AI82" i="10" s="1"/>
  <c r="AH43" i="10"/>
  <c r="AI81" i="10" s="1"/>
  <c r="AH42" i="10"/>
  <c r="AI80" i="10" s="1"/>
  <c r="AH37" i="10"/>
  <c r="AI38" i="10"/>
  <c r="AH25" i="10"/>
  <c r="AI26" i="10"/>
  <c r="AG14" i="10"/>
  <c r="AF13" i="10"/>
  <c r="AF18" i="10" s="1"/>
  <c r="AD58" i="10" l="1"/>
  <c r="AD72" i="10"/>
  <c r="AI84" i="10"/>
  <c r="AD70" i="10"/>
  <c r="AE56" i="10"/>
  <c r="AE68" i="10"/>
  <c r="AF54" i="10"/>
  <c r="AF66" i="10"/>
  <c r="AE52" i="10"/>
  <c r="AE64" i="10"/>
  <c r="AE55" i="10"/>
  <c r="AE67" i="10"/>
  <c r="AE54" i="10"/>
  <c r="AE66" i="10"/>
  <c r="AE53" i="10"/>
  <c r="AE65" i="10"/>
  <c r="AF20" i="10"/>
  <c r="AH62" i="10"/>
  <c r="AG61" i="10"/>
  <c r="AG15" i="10"/>
  <c r="AG77" i="10"/>
  <c r="AG39" i="10"/>
  <c r="AG51" i="10"/>
  <c r="AG63" i="10"/>
  <c r="AG27" i="10"/>
  <c r="AG49" i="10"/>
  <c r="AH50" i="10"/>
  <c r="AF19" i="10"/>
  <c r="AF28" i="10"/>
  <c r="AF30" i="10"/>
  <c r="AF29" i="10"/>
  <c r="AF32" i="10"/>
  <c r="AF31" i="10"/>
  <c r="AF17" i="10"/>
  <c r="AH76" i="10"/>
  <c r="AG75" i="10"/>
  <c r="AI41" i="10"/>
  <c r="AJ79" i="10" s="1"/>
  <c r="AI44" i="10"/>
  <c r="AJ82" i="10" s="1"/>
  <c r="AI40" i="10"/>
  <c r="AJ78" i="10" s="1"/>
  <c r="AI43" i="10"/>
  <c r="AJ81" i="10" s="1"/>
  <c r="AI42" i="10"/>
  <c r="AJ80" i="10" s="1"/>
  <c r="AJ38" i="10"/>
  <c r="AI37" i="10"/>
  <c r="AF16" i="10"/>
  <c r="AE34" i="10"/>
  <c r="AJ26" i="10"/>
  <c r="AI25" i="10"/>
  <c r="AH14" i="10"/>
  <c r="AG13" i="10"/>
  <c r="AG16" i="10" s="1"/>
  <c r="AE22" i="10"/>
  <c r="AE71" i="10" s="1"/>
  <c r="AJ84" i="10" l="1"/>
  <c r="AE58" i="10"/>
  <c r="AG52" i="10"/>
  <c r="AG64" i="10"/>
  <c r="AF52" i="10"/>
  <c r="AF64" i="10"/>
  <c r="AF53" i="10"/>
  <c r="AF65" i="10"/>
  <c r="AF56" i="10"/>
  <c r="AF68" i="10"/>
  <c r="AF55" i="10"/>
  <c r="AF67" i="10"/>
  <c r="AE72" i="10"/>
  <c r="AE70" i="10" s="1"/>
  <c r="AF22" i="10"/>
  <c r="AF71" i="10" s="1"/>
  <c r="AJ41" i="10"/>
  <c r="AK79" i="10" s="1"/>
  <c r="AJ44" i="10"/>
  <c r="AK82" i="10" s="1"/>
  <c r="AJ43" i="10"/>
  <c r="AK81" i="10" s="1"/>
  <c r="AJ42" i="10"/>
  <c r="AK80" i="10" s="1"/>
  <c r="AJ40" i="10"/>
  <c r="AK78" i="10" s="1"/>
  <c r="AK38" i="10"/>
  <c r="AJ37" i="10"/>
  <c r="AH75" i="10"/>
  <c r="AI76" i="10"/>
  <c r="AG18" i="10"/>
  <c r="AG29" i="10"/>
  <c r="AG28" i="10"/>
  <c r="AG30" i="10"/>
  <c r="AG32" i="10"/>
  <c r="AG31" i="10"/>
  <c r="AF34" i="10"/>
  <c r="AG19" i="10"/>
  <c r="AG17" i="10"/>
  <c r="AH15" i="10"/>
  <c r="AH77" i="10"/>
  <c r="AH39" i="10"/>
  <c r="AH51" i="10"/>
  <c r="AH27" i="10"/>
  <c r="AH63" i="10"/>
  <c r="AH61" i="10"/>
  <c r="AI62" i="10"/>
  <c r="AG20" i="10"/>
  <c r="AH49" i="10"/>
  <c r="AI50" i="10"/>
  <c r="AK26" i="10"/>
  <c r="AJ25" i="10"/>
  <c r="AI14" i="10"/>
  <c r="AH13" i="10"/>
  <c r="AK84" i="10" l="1"/>
  <c r="AF58" i="10"/>
  <c r="AG55" i="10"/>
  <c r="AG67" i="10"/>
  <c r="AG56" i="10"/>
  <c r="AG68" i="10"/>
  <c r="AG53" i="10"/>
  <c r="AG65" i="10"/>
  <c r="AG54" i="10"/>
  <c r="AG66" i="10"/>
  <c r="AF72" i="10"/>
  <c r="AF70" i="10" s="1"/>
  <c r="AG58" i="10"/>
  <c r="AI61" i="10"/>
  <c r="AJ62" i="10"/>
  <c r="AH32" i="10"/>
  <c r="AH29" i="10"/>
  <c r="AH28" i="10"/>
  <c r="AH30" i="10"/>
  <c r="AH31" i="10"/>
  <c r="AI75" i="10"/>
  <c r="AJ76" i="10"/>
  <c r="AI15" i="10"/>
  <c r="AI63" i="10"/>
  <c r="AI39" i="10"/>
  <c r="AI77" i="10"/>
  <c r="AI51" i="10"/>
  <c r="AI27" i="10"/>
  <c r="AH20" i="10"/>
  <c r="AI49" i="10"/>
  <c r="AJ50" i="10"/>
  <c r="AH16" i="10"/>
  <c r="AH17" i="10"/>
  <c r="AG34" i="10"/>
  <c r="AK41" i="10"/>
  <c r="AL79" i="10" s="1"/>
  <c r="AK44" i="10"/>
  <c r="AL82" i="10" s="1"/>
  <c r="AK42" i="10"/>
  <c r="AL80" i="10" s="1"/>
  <c r="AK40" i="10"/>
  <c r="AL78" i="10" s="1"/>
  <c r="AK43" i="10"/>
  <c r="AL81" i="10" s="1"/>
  <c r="AK37" i="10"/>
  <c r="AL38" i="10"/>
  <c r="AH18" i="10"/>
  <c r="AG22" i="10"/>
  <c r="AG71" i="10" s="1"/>
  <c r="AH19" i="10"/>
  <c r="AL26" i="10"/>
  <c r="AK25" i="10"/>
  <c r="AJ14" i="10"/>
  <c r="AI13" i="10"/>
  <c r="AG72" i="10" l="1"/>
  <c r="AL84" i="10"/>
  <c r="AG70" i="10"/>
  <c r="AH52" i="10"/>
  <c r="AH64" i="10"/>
  <c r="AH56" i="10"/>
  <c r="AH68" i="10"/>
  <c r="AH54" i="10"/>
  <c r="AH66" i="10"/>
  <c r="AH53" i="10"/>
  <c r="AH65" i="10"/>
  <c r="AH55" i="10"/>
  <c r="AH67" i="10"/>
  <c r="AI32" i="10"/>
  <c r="AI29" i="10"/>
  <c r="AI30" i="10"/>
  <c r="AI28" i="10"/>
  <c r="AI31" i="10"/>
  <c r="AJ15" i="10"/>
  <c r="AJ63" i="10"/>
  <c r="AJ39" i="10"/>
  <c r="AJ51" i="10"/>
  <c r="AJ77" i="10"/>
  <c r="AJ27" i="10"/>
  <c r="AI19" i="10"/>
  <c r="AI17" i="10"/>
  <c r="AI16" i="10"/>
  <c r="AI20" i="10"/>
  <c r="AJ75" i="10"/>
  <c r="AK76" i="10"/>
  <c r="AH34" i="10"/>
  <c r="AK50" i="10"/>
  <c r="AJ49" i="10"/>
  <c r="AK62" i="10"/>
  <c r="AJ61" i="10"/>
  <c r="AI18" i="10"/>
  <c r="AH22" i="10"/>
  <c r="AH71" i="10" s="1"/>
  <c r="AL42" i="10"/>
  <c r="AM80" i="10" s="1"/>
  <c r="AL41" i="10"/>
  <c r="AM79" i="10" s="1"/>
  <c r="AL44" i="10"/>
  <c r="AM82" i="10" s="1"/>
  <c r="AL43" i="10"/>
  <c r="AM81" i="10" s="1"/>
  <c r="AL40" i="10"/>
  <c r="AM78" i="10" s="1"/>
  <c r="AL37" i="10"/>
  <c r="AM38" i="10"/>
  <c r="AL25" i="10"/>
  <c r="AM26" i="10"/>
  <c r="AK14" i="10"/>
  <c r="AJ13" i="10"/>
  <c r="AJ17" i="10" s="1"/>
  <c r="AH58" i="10" l="1"/>
  <c r="AM84" i="10"/>
  <c r="AJ16" i="10"/>
  <c r="AJ52" i="10" s="1"/>
  <c r="AI53" i="10"/>
  <c r="AI65" i="10"/>
  <c r="AI52" i="10"/>
  <c r="AI64" i="10"/>
  <c r="AJ53" i="10"/>
  <c r="AJ65" i="10"/>
  <c r="AI54" i="10"/>
  <c r="AI66" i="10"/>
  <c r="AH72" i="10"/>
  <c r="AH70" i="10" s="1"/>
  <c r="AI56" i="10"/>
  <c r="AI68" i="10"/>
  <c r="AI55" i="10"/>
  <c r="AI67" i="10"/>
  <c r="AJ18" i="10"/>
  <c r="AJ20" i="10"/>
  <c r="AJ19" i="10"/>
  <c r="AL62" i="10"/>
  <c r="AK61" i="10"/>
  <c r="AM41" i="10"/>
  <c r="AN79" i="10" s="1"/>
  <c r="AM44" i="10"/>
  <c r="AN82" i="10" s="1"/>
  <c r="AM42" i="10"/>
  <c r="AN80" i="10" s="1"/>
  <c r="AM43" i="10"/>
  <c r="AN81" i="10" s="1"/>
  <c r="AM40" i="10"/>
  <c r="AN78" i="10" s="1"/>
  <c r="AN38" i="10"/>
  <c r="AM37" i="10"/>
  <c r="AL50" i="10"/>
  <c r="AK49" i="10"/>
  <c r="AI34" i="10"/>
  <c r="AL76" i="10"/>
  <c r="AK75" i="10"/>
  <c r="AK15" i="10"/>
  <c r="AK63" i="10"/>
  <c r="AK77" i="10"/>
  <c r="AK39" i="10"/>
  <c r="AK27" i="10"/>
  <c r="AK51" i="10"/>
  <c r="AJ32" i="10"/>
  <c r="AJ29" i="10"/>
  <c r="AJ30" i="10"/>
  <c r="AJ28" i="10"/>
  <c r="AJ31" i="10"/>
  <c r="AN26" i="10"/>
  <c r="AM25" i="10"/>
  <c r="AL14" i="10"/>
  <c r="AK13" i="10"/>
  <c r="AK18" i="10" s="1"/>
  <c r="AI22" i="10"/>
  <c r="AI71" i="10" s="1"/>
  <c r="AI58" i="10" l="1"/>
  <c r="AJ64" i="10"/>
  <c r="AN84" i="10"/>
  <c r="AJ22" i="10"/>
  <c r="AJ71" i="10" s="1"/>
  <c r="AJ55" i="10"/>
  <c r="AJ67" i="10"/>
  <c r="AI72" i="10"/>
  <c r="AI70" i="10" s="1"/>
  <c r="AJ56" i="10"/>
  <c r="AJ68" i="10"/>
  <c r="AK54" i="10"/>
  <c r="AK66" i="10"/>
  <c r="AJ54" i="10"/>
  <c r="AJ58" i="10" s="1"/>
  <c r="AJ66" i="10"/>
  <c r="AK19" i="10"/>
  <c r="AK17" i="10"/>
  <c r="AL15" i="10"/>
  <c r="AL77" i="10"/>
  <c r="AL39" i="10"/>
  <c r="AL27" i="10"/>
  <c r="AL63" i="10"/>
  <c r="AL51" i="10"/>
  <c r="AK32" i="10"/>
  <c r="AK29" i="10"/>
  <c r="AK31" i="10"/>
  <c r="AK30" i="10"/>
  <c r="AK28" i="10"/>
  <c r="AM76" i="10"/>
  <c r="AL75" i="10"/>
  <c r="AL49" i="10"/>
  <c r="AM50" i="10"/>
  <c r="AK20" i="10"/>
  <c r="AJ34" i="10"/>
  <c r="AN44" i="10"/>
  <c r="AO82" i="10" s="1"/>
  <c r="AN42" i="10"/>
  <c r="AO80" i="10" s="1"/>
  <c r="AN43" i="10"/>
  <c r="AO81" i="10" s="1"/>
  <c r="AN41" i="10"/>
  <c r="AO79" i="10" s="1"/>
  <c r="AN40" i="10"/>
  <c r="AO78" i="10" s="1"/>
  <c r="AO38" i="10"/>
  <c r="AN37" i="10"/>
  <c r="AK16" i="10"/>
  <c r="AM62" i="10"/>
  <c r="AL61" i="10"/>
  <c r="AO26" i="10"/>
  <c r="AN25" i="10"/>
  <c r="AM14" i="10"/>
  <c r="AL13" i="10"/>
  <c r="AL18" i="10" s="1"/>
  <c r="AJ72" i="10" l="1"/>
  <c r="AJ70" i="10" s="1"/>
  <c r="AK34" i="10"/>
  <c r="AO84" i="10"/>
  <c r="AK53" i="10"/>
  <c r="AK65" i="10"/>
  <c r="AK52" i="10"/>
  <c r="AK64" i="10"/>
  <c r="AL54" i="10"/>
  <c r="AL66" i="10"/>
  <c r="AL17" i="10"/>
  <c r="AL20" i="10"/>
  <c r="AK55" i="10"/>
  <c r="AK67" i="10"/>
  <c r="AK56" i="10"/>
  <c r="AK68" i="10"/>
  <c r="AL19" i="10"/>
  <c r="AL16" i="10"/>
  <c r="AO41" i="10"/>
  <c r="AP79" i="10" s="1"/>
  <c r="AO43" i="10"/>
  <c r="AP81" i="10" s="1"/>
  <c r="AO42" i="10"/>
  <c r="AP80" i="10" s="1"/>
  <c r="AO44" i="10"/>
  <c r="AP82" i="10" s="1"/>
  <c r="AO40" i="10"/>
  <c r="AP78" i="10" s="1"/>
  <c r="AO37" i="10"/>
  <c r="AP38" i="10"/>
  <c r="AM61" i="10"/>
  <c r="AN62" i="10"/>
  <c r="AL31" i="10"/>
  <c r="AL29" i="10"/>
  <c r="AL32" i="10"/>
  <c r="AL30" i="10"/>
  <c r="AL28" i="10"/>
  <c r="AM49" i="10"/>
  <c r="AN50" i="10"/>
  <c r="AM75" i="10"/>
  <c r="AN76" i="10"/>
  <c r="AM15" i="10"/>
  <c r="AM27" i="10"/>
  <c r="AM63" i="10"/>
  <c r="AM77" i="10"/>
  <c r="AM39" i="10"/>
  <c r="AM51" i="10"/>
  <c r="AP26" i="10"/>
  <c r="AO25" i="10"/>
  <c r="AK22" i="10"/>
  <c r="AK71" i="10" s="1"/>
  <c r="AN14" i="10"/>
  <c r="AM13" i="10"/>
  <c r="AM20" i="10" s="1"/>
  <c r="AP84" i="10" l="1"/>
  <c r="AM56" i="10"/>
  <c r="AM68" i="10"/>
  <c r="AL52" i="10"/>
  <c r="AL64" i="10"/>
  <c r="AL55" i="10"/>
  <c r="AL67" i="10"/>
  <c r="AL56" i="10"/>
  <c r="AL68" i="10"/>
  <c r="AM17" i="10"/>
  <c r="AL53" i="10"/>
  <c r="AL65" i="10"/>
  <c r="AM16" i="10"/>
  <c r="AM19" i="10"/>
  <c r="AK72" i="10"/>
  <c r="AK70" i="10" s="1"/>
  <c r="AK58" i="10"/>
  <c r="AM31" i="10"/>
  <c r="AM29" i="10"/>
  <c r="AM32" i="10"/>
  <c r="AM28" i="10"/>
  <c r="AM30" i="10"/>
  <c r="AN61" i="10"/>
  <c r="AO62" i="10"/>
  <c r="AM18" i="10"/>
  <c r="AL34" i="10"/>
  <c r="AO76" i="10"/>
  <c r="AN75" i="10"/>
  <c r="AO50" i="10"/>
  <c r="AN49" i="10"/>
  <c r="AN15" i="10"/>
  <c r="AN27" i="10"/>
  <c r="AN63" i="10"/>
  <c r="AN77" i="10"/>
  <c r="AN39" i="10"/>
  <c r="AN51" i="10"/>
  <c r="AP43" i="10"/>
  <c r="AQ81" i="10" s="1"/>
  <c r="AP42" i="10"/>
  <c r="AQ80" i="10" s="1"/>
  <c r="AP44" i="10"/>
  <c r="AQ82" i="10" s="1"/>
  <c r="AP41" i="10"/>
  <c r="AQ79" i="10" s="1"/>
  <c r="AP40" i="10"/>
  <c r="AQ78" i="10" s="1"/>
  <c r="AP37" i="10"/>
  <c r="AQ38" i="10"/>
  <c r="AQ26" i="10"/>
  <c r="AP25" i="10"/>
  <c r="AL22" i="10"/>
  <c r="AL71" i="10" s="1"/>
  <c r="AO14" i="10"/>
  <c r="AN13" i="10"/>
  <c r="AN20" i="10" s="1"/>
  <c r="AQ84" i="10" l="1"/>
  <c r="AM22" i="10"/>
  <c r="AM71" i="10" s="1"/>
  <c r="AN16" i="10"/>
  <c r="AL72" i="10"/>
  <c r="AL70" i="10" s="1"/>
  <c r="AM52" i="10"/>
  <c r="AM64" i="10"/>
  <c r="AL58" i="10"/>
  <c r="AM55" i="10"/>
  <c r="AM67" i="10"/>
  <c r="AM53" i="10"/>
  <c r="AM65" i="10"/>
  <c r="AN52" i="10"/>
  <c r="AN64" i="10"/>
  <c r="AM54" i="10"/>
  <c r="AM58" i="10" s="1"/>
  <c r="AM66" i="10"/>
  <c r="AN56" i="10"/>
  <c r="AN68" i="10"/>
  <c r="AN18" i="10"/>
  <c r="AO15" i="10"/>
  <c r="AO27" i="10"/>
  <c r="AO63" i="10"/>
  <c r="AO77" i="10"/>
  <c r="AO39" i="10"/>
  <c r="AO51" i="10"/>
  <c r="AM34" i="10"/>
  <c r="AP76" i="10"/>
  <c r="AO75" i="10"/>
  <c r="AN31" i="10"/>
  <c r="AN29" i="10"/>
  <c r="AN32" i="10"/>
  <c r="AN28" i="10"/>
  <c r="AN30" i="10"/>
  <c r="AN17" i="10"/>
  <c r="AP62" i="10"/>
  <c r="AO61" i="10"/>
  <c r="AQ43" i="10"/>
  <c r="AR81" i="10" s="1"/>
  <c r="AQ42" i="10"/>
  <c r="AR80" i="10" s="1"/>
  <c r="AQ40" i="10"/>
  <c r="AR78" i="10" s="1"/>
  <c r="AQ44" i="10"/>
  <c r="AR82" i="10" s="1"/>
  <c r="AQ41" i="10"/>
  <c r="AR79" i="10" s="1"/>
  <c r="AR38" i="10"/>
  <c r="AQ37" i="10"/>
  <c r="AN19" i="10"/>
  <c r="AO49" i="10"/>
  <c r="AP50" i="10"/>
  <c r="AO18" i="10"/>
  <c r="AO20" i="10"/>
  <c r="AR26" i="10"/>
  <c r="AQ25" i="10"/>
  <c r="AP14" i="10"/>
  <c r="AO13" i="10"/>
  <c r="AR84" i="10" l="1"/>
  <c r="AN53" i="10"/>
  <c r="AN65" i="10"/>
  <c r="AM72" i="10"/>
  <c r="AM70" i="10" s="1"/>
  <c r="AO54" i="10"/>
  <c r="AO66" i="10"/>
  <c r="AN55" i="10"/>
  <c r="AN67" i="10"/>
  <c r="AO56" i="10"/>
  <c r="AO68" i="10"/>
  <c r="AN54" i="10"/>
  <c r="AN66" i="10"/>
  <c r="AN72" i="10" s="1"/>
  <c r="AN34" i="10"/>
  <c r="AN22" i="10"/>
  <c r="AN71" i="10" s="1"/>
  <c r="AP75" i="10"/>
  <c r="AQ76" i="10"/>
  <c r="AP49" i="10"/>
  <c r="AQ50" i="10"/>
  <c r="AR44" i="10"/>
  <c r="AS82" i="10" s="1"/>
  <c r="AR43" i="10"/>
  <c r="AS81" i="10" s="1"/>
  <c r="AR42" i="10"/>
  <c r="AS80" i="10" s="1"/>
  <c r="AR40" i="10"/>
  <c r="AS78" i="10" s="1"/>
  <c r="AR41" i="10"/>
  <c r="AS79" i="10" s="1"/>
  <c r="AR37" i="10"/>
  <c r="AS38" i="10"/>
  <c r="AO31" i="10"/>
  <c r="AO29" i="10"/>
  <c r="AO32" i="10"/>
  <c r="AO28" i="10"/>
  <c r="AO30" i="10"/>
  <c r="AO16" i="10"/>
  <c r="AP15" i="10"/>
  <c r="AP51" i="10"/>
  <c r="AP63" i="10"/>
  <c r="AP39" i="10"/>
  <c r="AP77" i="10"/>
  <c r="AP27" i="10"/>
  <c r="AO17" i="10"/>
  <c r="AP61" i="10"/>
  <c r="AQ62" i="10"/>
  <c r="AO19" i="10"/>
  <c r="AS26" i="10"/>
  <c r="AR25" i="10"/>
  <c r="AQ14" i="10"/>
  <c r="AP13" i="10"/>
  <c r="AP17" i="10" s="1"/>
  <c r="AS84" i="10" l="1"/>
  <c r="AP53" i="10"/>
  <c r="AP65" i="10"/>
  <c r="AN70" i="10"/>
  <c r="AO53" i="10"/>
  <c r="AO65" i="10"/>
  <c r="AO52" i="10"/>
  <c r="AO64" i="10"/>
  <c r="AO55" i="10"/>
  <c r="AO58" i="10" s="1"/>
  <c r="AO67" i="10"/>
  <c r="AN58" i="10"/>
  <c r="AO34" i="10"/>
  <c r="AP29" i="10"/>
  <c r="AP30" i="10"/>
  <c r="AP28" i="10"/>
  <c r="AP31" i="10"/>
  <c r="AP32" i="10"/>
  <c r="AP19" i="10"/>
  <c r="AP18" i="10"/>
  <c r="AQ49" i="10"/>
  <c r="AR50" i="10"/>
  <c r="AR62" i="10"/>
  <c r="AQ61" i="10"/>
  <c r="AO22" i="10"/>
  <c r="AO71" i="10" s="1"/>
  <c r="AP20" i="10"/>
  <c r="AQ15" i="10"/>
  <c r="AQ51" i="10"/>
  <c r="AQ27" i="10"/>
  <c r="AQ63" i="10"/>
  <c r="AQ77" i="10"/>
  <c r="AQ39" i="10"/>
  <c r="AR76" i="10"/>
  <c r="AQ75" i="10"/>
  <c r="AS44" i="10"/>
  <c r="AT82" i="10" s="1"/>
  <c r="AS42" i="10"/>
  <c r="AT80" i="10" s="1"/>
  <c r="AS40" i="10"/>
  <c r="AT78" i="10" s="1"/>
  <c r="AS43" i="10"/>
  <c r="AT81" i="10" s="1"/>
  <c r="AS41" i="10"/>
  <c r="AT79" i="10" s="1"/>
  <c r="AT38" i="10"/>
  <c r="AS37" i="10"/>
  <c r="AP16" i="10"/>
  <c r="AS25" i="10"/>
  <c r="AT26" i="10"/>
  <c r="AR14" i="10"/>
  <c r="AQ13" i="10"/>
  <c r="AQ20" i="10" s="1"/>
  <c r="AT84" i="10" l="1"/>
  <c r="AQ56" i="10"/>
  <c r="AQ68" i="10"/>
  <c r="AP56" i="10"/>
  <c r="AP68" i="10"/>
  <c r="AP52" i="10"/>
  <c r="AP64" i="10"/>
  <c r="AP54" i="10"/>
  <c r="AP66" i="10"/>
  <c r="AO72" i="10"/>
  <c r="AO70" i="10" s="1"/>
  <c r="AP55" i="10"/>
  <c r="AP67" i="10"/>
  <c r="AR15" i="10"/>
  <c r="AR51" i="10"/>
  <c r="AR27" i="10"/>
  <c r="AR77" i="10"/>
  <c r="AR63" i="10"/>
  <c r="AR39" i="10"/>
  <c r="AQ17" i="10"/>
  <c r="AR75" i="10"/>
  <c r="AS76" i="10"/>
  <c r="AQ29" i="10"/>
  <c r="AQ30" i="10"/>
  <c r="AQ28" i="10"/>
  <c r="AQ31" i="10"/>
  <c r="AQ32" i="10"/>
  <c r="AP34" i="10"/>
  <c r="AP58" i="10"/>
  <c r="AS62" i="10"/>
  <c r="AR61" i="10"/>
  <c r="AR49" i="10"/>
  <c r="AS50" i="10"/>
  <c r="AQ18" i="10"/>
  <c r="AQ16" i="10"/>
  <c r="AQ19" i="10"/>
  <c r="AP22" i="10"/>
  <c r="AP71" i="10" s="1"/>
  <c r="AT44" i="10"/>
  <c r="AU82" i="10" s="1"/>
  <c r="AT42" i="10"/>
  <c r="AU80" i="10" s="1"/>
  <c r="AT40" i="10"/>
  <c r="AU78" i="10" s="1"/>
  <c r="AT43" i="10"/>
  <c r="AU81" i="10" s="1"/>
  <c r="AT41" i="10"/>
  <c r="AU79" i="10" s="1"/>
  <c r="AT37" i="10"/>
  <c r="AU38" i="10"/>
  <c r="AU26" i="10"/>
  <c r="AT25" i="10"/>
  <c r="AS14" i="10"/>
  <c r="AR13" i="10"/>
  <c r="AR20" i="10" s="1"/>
  <c r="AU84" i="10" l="1"/>
  <c r="AR56" i="10"/>
  <c r="AR68" i="10"/>
  <c r="AR19" i="10"/>
  <c r="AQ52" i="10"/>
  <c r="AQ64" i="10"/>
  <c r="AP72" i="10"/>
  <c r="AQ54" i="10"/>
  <c r="AQ66" i="10"/>
  <c r="AP70" i="10"/>
  <c r="AQ55" i="10"/>
  <c r="AQ67" i="10"/>
  <c r="AQ53" i="10"/>
  <c r="AQ65" i="10"/>
  <c r="AR17" i="10"/>
  <c r="AQ22" i="10"/>
  <c r="AQ71" i="10" s="1"/>
  <c r="AR18" i="10"/>
  <c r="AT50" i="10"/>
  <c r="AS49" i="10"/>
  <c r="AU44" i="10"/>
  <c r="AV82" i="10" s="1"/>
  <c r="AU42" i="10"/>
  <c r="AV80" i="10" s="1"/>
  <c r="AU40" i="10"/>
  <c r="AV78" i="10" s="1"/>
  <c r="AU43" i="10"/>
  <c r="AV81" i="10" s="1"/>
  <c r="AU41" i="10"/>
  <c r="AV79" i="10" s="1"/>
  <c r="AU37" i="10"/>
  <c r="AV38" i="10"/>
  <c r="AQ34" i="10"/>
  <c r="AS61" i="10"/>
  <c r="AT62" i="10"/>
  <c r="AT76" i="10"/>
  <c r="AS75" i="10"/>
  <c r="AR29" i="10"/>
  <c r="AR30" i="10"/>
  <c r="AR28" i="10"/>
  <c r="AR31" i="10"/>
  <c r="AR32" i="10"/>
  <c r="AR16" i="10"/>
  <c r="AS15" i="10"/>
  <c r="AS39" i="10"/>
  <c r="AS51" i="10"/>
  <c r="AS77" i="10"/>
  <c r="AS63" i="10"/>
  <c r="AS27" i="10"/>
  <c r="AV26" i="10"/>
  <c r="AU25" i="10"/>
  <c r="AT14" i="10"/>
  <c r="AS13" i="10"/>
  <c r="AV84" i="10" l="1"/>
  <c r="AQ58" i="10"/>
  <c r="AR54" i="10"/>
  <c r="AR66" i="10"/>
  <c r="AR55" i="10"/>
  <c r="AR67" i="10"/>
  <c r="AR53" i="10"/>
  <c r="AR65" i="10"/>
  <c r="AR52" i="10"/>
  <c r="AR58" i="10" s="1"/>
  <c r="AR64" i="10"/>
  <c r="AQ72" i="10"/>
  <c r="AQ70" i="10" s="1"/>
  <c r="AR22" i="10"/>
  <c r="AR71" i="10" s="1"/>
  <c r="AV43" i="10"/>
  <c r="AW81" i="10" s="1"/>
  <c r="AV44" i="10"/>
  <c r="AW82" i="10" s="1"/>
  <c r="AV42" i="10"/>
  <c r="AW80" i="10" s="1"/>
  <c r="AV40" i="10"/>
  <c r="AW78" i="10" s="1"/>
  <c r="AV41" i="10"/>
  <c r="AW79" i="10" s="1"/>
  <c r="AV37" i="10"/>
  <c r="AW38" i="10"/>
  <c r="AS29" i="10"/>
  <c r="AS30" i="10"/>
  <c r="AS28" i="10"/>
  <c r="AS31" i="10"/>
  <c r="AS32" i="10"/>
  <c r="AT49" i="10"/>
  <c r="AU50" i="10"/>
  <c r="AS18" i="10"/>
  <c r="AU76" i="10"/>
  <c r="AT75" i="10"/>
  <c r="AS16" i="10"/>
  <c r="AT61" i="10"/>
  <c r="AU62" i="10"/>
  <c r="AS19" i="10"/>
  <c r="AT15" i="10"/>
  <c r="AT39" i="10"/>
  <c r="AT51" i="10"/>
  <c r="AT63" i="10"/>
  <c r="AT27" i="10"/>
  <c r="AT77" i="10"/>
  <c r="AR34" i="10"/>
  <c r="AS17" i="10"/>
  <c r="AS20" i="10"/>
  <c r="AV25" i="10"/>
  <c r="AW26" i="10"/>
  <c r="AU14" i="10"/>
  <c r="AT13" i="10"/>
  <c r="AR72" i="10" l="1"/>
  <c r="AR70" i="10" s="1"/>
  <c r="AW84" i="10"/>
  <c r="AS56" i="10"/>
  <c r="AS68" i="10"/>
  <c r="AS55" i="10"/>
  <c r="AS67" i="10"/>
  <c r="AS54" i="10"/>
  <c r="AS66" i="10"/>
  <c r="AS53" i="10"/>
  <c r="AS65" i="10"/>
  <c r="AS52" i="10"/>
  <c r="AS58" i="10" s="1"/>
  <c r="AS64" i="10"/>
  <c r="AS72" i="10" s="1"/>
  <c r="AT30" i="10"/>
  <c r="AT29" i="10"/>
  <c r="AT28" i="10"/>
  <c r="AT31" i="10"/>
  <c r="AT32" i="10"/>
  <c r="AT18" i="10"/>
  <c r="AT20" i="10"/>
  <c r="AS22" i="10"/>
  <c r="AS71" i="10" s="1"/>
  <c r="AU49" i="10"/>
  <c r="AV50" i="10"/>
  <c r="AT16" i="10"/>
  <c r="AT19" i="10"/>
  <c r="AT17" i="10"/>
  <c r="AU75" i="10"/>
  <c r="AV76" i="10"/>
  <c r="AU15" i="10"/>
  <c r="AU39" i="10"/>
  <c r="AU51" i="10"/>
  <c r="AU27" i="10"/>
  <c r="AU77" i="10"/>
  <c r="AU63" i="10"/>
  <c r="AS34" i="10"/>
  <c r="AU61" i="10"/>
  <c r="AV62" i="10"/>
  <c r="AW43" i="10"/>
  <c r="AX81" i="10" s="1"/>
  <c r="AW44" i="10"/>
  <c r="AX82" i="10" s="1"/>
  <c r="AW40" i="10"/>
  <c r="AX78" i="10" s="1"/>
  <c r="AW41" i="10"/>
  <c r="AX79" i="10" s="1"/>
  <c r="AW42" i="10"/>
  <c r="AX80" i="10" s="1"/>
  <c r="AX38" i="10"/>
  <c r="AW37" i="10"/>
  <c r="AW25" i="10"/>
  <c r="AX26" i="10"/>
  <c r="AV14" i="10"/>
  <c r="AU13" i="10"/>
  <c r="AU19" i="10" s="1"/>
  <c r="AX84" i="10" l="1"/>
  <c r="AT55" i="10"/>
  <c r="AT67" i="10"/>
  <c r="AT54" i="10"/>
  <c r="AT66" i="10"/>
  <c r="AT52" i="10"/>
  <c r="AT64" i="10"/>
  <c r="AU55" i="10"/>
  <c r="AU67" i="10"/>
  <c r="AU17" i="10"/>
  <c r="AT53" i="10"/>
  <c r="AT65" i="10"/>
  <c r="AS70" i="10"/>
  <c r="AT56" i="10"/>
  <c r="AT68" i="10"/>
  <c r="AT58" i="10"/>
  <c r="AU16" i="10"/>
  <c r="AU18" i="10"/>
  <c r="AT34" i="10"/>
  <c r="AV61" i="10"/>
  <c r="AW62" i="10"/>
  <c r="AW50" i="10"/>
  <c r="AV49" i="10"/>
  <c r="AV15" i="10"/>
  <c r="AV39" i="10"/>
  <c r="AV51" i="10"/>
  <c r="AV27" i="10"/>
  <c r="AV77" i="10"/>
  <c r="AV63" i="10"/>
  <c r="AV75" i="10"/>
  <c r="AW76" i="10"/>
  <c r="AX44" i="10"/>
  <c r="AY82" i="10" s="1"/>
  <c r="AX40" i="10"/>
  <c r="AY78" i="10" s="1"/>
  <c r="AX43" i="10"/>
  <c r="AY81" i="10" s="1"/>
  <c r="AX41" i="10"/>
  <c r="AY79" i="10" s="1"/>
  <c r="AX42" i="10"/>
  <c r="AY80" i="10" s="1"/>
  <c r="AX37" i="10"/>
  <c r="AY38" i="10"/>
  <c r="AT22" i="10"/>
  <c r="AT71" i="10" s="1"/>
  <c r="AU28" i="10"/>
  <c r="AU30" i="10"/>
  <c r="AU29" i="10"/>
  <c r="AU31" i="10"/>
  <c r="AU32" i="10"/>
  <c r="AU20" i="10"/>
  <c r="AX25" i="10"/>
  <c r="AY26" i="10"/>
  <c r="AW14" i="10"/>
  <c r="AV13" i="10"/>
  <c r="AY84" i="10" l="1"/>
  <c r="AU52" i="10"/>
  <c r="AU64" i="10"/>
  <c r="AT72" i="10"/>
  <c r="AU56" i="10"/>
  <c r="AU68" i="10"/>
  <c r="AU53" i="10"/>
  <c r="AU65" i="10"/>
  <c r="AT70" i="10"/>
  <c r="AU54" i="10"/>
  <c r="AU66" i="10"/>
  <c r="AU22" i="10"/>
  <c r="AU71" i="10" s="1"/>
  <c r="AV28" i="10"/>
  <c r="AV30" i="10"/>
  <c r="AV29" i="10"/>
  <c r="AV31" i="10"/>
  <c r="AV32" i="10"/>
  <c r="AY44" i="10"/>
  <c r="AZ82" i="10" s="1"/>
  <c r="AY43" i="10"/>
  <c r="AZ81" i="10" s="1"/>
  <c r="AY41" i="10"/>
  <c r="AZ79" i="10" s="1"/>
  <c r="AY42" i="10"/>
  <c r="AZ80" i="10" s="1"/>
  <c r="AY40" i="10"/>
  <c r="AZ78" i="10" s="1"/>
  <c r="AZ38" i="10"/>
  <c r="AY37" i="10"/>
  <c r="AX62" i="10"/>
  <c r="AW61" i="10"/>
  <c r="AU34" i="10"/>
  <c r="AV20" i="10"/>
  <c r="AV16" i="10"/>
  <c r="AW75" i="10"/>
  <c r="AX76" i="10"/>
  <c r="AV17" i="10"/>
  <c r="AW15" i="10"/>
  <c r="AW77" i="10"/>
  <c r="AW51" i="10"/>
  <c r="AW39" i="10"/>
  <c r="AW27" i="10"/>
  <c r="AW63" i="10"/>
  <c r="AW49" i="10"/>
  <c r="AX50" i="10"/>
  <c r="AV18" i="10"/>
  <c r="AV19" i="10"/>
  <c r="AY25" i="10"/>
  <c r="AZ26" i="10"/>
  <c r="AX14" i="10"/>
  <c r="AW13" i="10"/>
  <c r="AW20" i="10" s="1"/>
  <c r="AU58" i="10" l="1"/>
  <c r="AZ84" i="10"/>
  <c r="AV56" i="10"/>
  <c r="AV68" i="10"/>
  <c r="AV52" i="10"/>
  <c r="AV64" i="10"/>
  <c r="AV55" i="10"/>
  <c r="AV67" i="10"/>
  <c r="AV53" i="10"/>
  <c r="AV65" i="10"/>
  <c r="AV54" i="10"/>
  <c r="AV66" i="10"/>
  <c r="AU72" i="10"/>
  <c r="AU70" i="10" s="1"/>
  <c r="AW56" i="10"/>
  <c r="AW68" i="10"/>
  <c r="AV22" i="10"/>
  <c r="AV71" i="10" s="1"/>
  <c r="AW28" i="10"/>
  <c r="AW30" i="10"/>
  <c r="AW32" i="10"/>
  <c r="AW29" i="10"/>
  <c r="AW31" i="10"/>
  <c r="AW18" i="10"/>
  <c r="AW19" i="10"/>
  <c r="AZ43" i="10"/>
  <c r="BA81" i="10" s="1"/>
  <c r="AZ41" i="10"/>
  <c r="BA79" i="10" s="1"/>
  <c r="AZ44" i="10"/>
  <c r="BA82" i="10" s="1"/>
  <c r="AZ40" i="10"/>
  <c r="BA78" i="10" s="1"/>
  <c r="AZ42" i="10"/>
  <c r="BA80" i="10" s="1"/>
  <c r="AZ37" i="10"/>
  <c r="BA38" i="10"/>
  <c r="AX17" i="10"/>
  <c r="AX75" i="10"/>
  <c r="AY76" i="10"/>
  <c r="AW17" i="10"/>
  <c r="AY62" i="10"/>
  <c r="AX61" i="10"/>
  <c r="AX15" i="10"/>
  <c r="AX77" i="10"/>
  <c r="AX51" i="10"/>
  <c r="AX39" i="10"/>
  <c r="AX27" i="10"/>
  <c r="AX63" i="10"/>
  <c r="AW16" i="10"/>
  <c r="AY50" i="10"/>
  <c r="AX49" i="10"/>
  <c r="AV34" i="10"/>
  <c r="BA26" i="10"/>
  <c r="AZ25" i="10"/>
  <c r="AY14" i="10"/>
  <c r="AX13" i="10"/>
  <c r="AV58" i="10" l="1"/>
  <c r="BA84" i="10"/>
  <c r="AW53" i="10"/>
  <c r="AW65" i="10"/>
  <c r="AX53" i="10"/>
  <c r="AX65" i="10"/>
  <c r="AW52" i="10"/>
  <c r="AW64" i="10"/>
  <c r="AV72" i="10"/>
  <c r="AV70" i="10"/>
  <c r="AW55" i="10"/>
  <c r="AW67" i="10"/>
  <c r="AW54" i="10"/>
  <c r="AW66" i="10"/>
  <c r="AW22" i="10"/>
  <c r="AW71" i="10" s="1"/>
  <c r="AX32" i="10"/>
  <c r="AX28" i="10"/>
  <c r="AX30" i="10"/>
  <c r="AX29" i="10"/>
  <c r="AX31" i="10"/>
  <c r="AZ76" i="10"/>
  <c r="AY75" i="10"/>
  <c r="BA42" i="10"/>
  <c r="BB80" i="10" s="1"/>
  <c r="BA43" i="10"/>
  <c r="BB81" i="10" s="1"/>
  <c r="BA41" i="10"/>
  <c r="BB79" i="10" s="1"/>
  <c r="BA44" i="10"/>
  <c r="BB82" i="10" s="1"/>
  <c r="BA40" i="10"/>
  <c r="BB78" i="10" s="1"/>
  <c r="BA37" i="10"/>
  <c r="BB38" i="10"/>
  <c r="AY61" i="10"/>
  <c r="AZ62" i="10"/>
  <c r="AX18" i="10"/>
  <c r="AX19" i="10"/>
  <c r="AY15" i="10"/>
  <c r="AY63" i="10"/>
  <c r="AY77" i="10"/>
  <c r="AY51" i="10"/>
  <c r="AY27" i="10"/>
  <c r="AY39" i="10"/>
  <c r="AX20" i="10"/>
  <c r="AY49" i="10"/>
  <c r="AZ50" i="10"/>
  <c r="AX16" i="10"/>
  <c r="AW34" i="10"/>
  <c r="BB26" i="10"/>
  <c r="BA25" i="10"/>
  <c r="AZ14" i="10"/>
  <c r="AY13" i="10"/>
  <c r="AY17" i="10" s="1"/>
  <c r="BB84" i="10" l="1"/>
  <c r="AX54" i="10"/>
  <c r="AX66" i="10"/>
  <c r="AX56" i="10"/>
  <c r="AX68" i="10"/>
  <c r="AY53" i="10"/>
  <c r="AY65" i="10"/>
  <c r="AX52" i="10"/>
  <c r="AX64" i="10"/>
  <c r="AW72" i="10"/>
  <c r="AW70" i="10" s="1"/>
  <c r="AX55" i="10"/>
  <c r="AX67" i="10"/>
  <c r="AW58" i="10"/>
  <c r="AX22" i="10"/>
  <c r="AX71" i="10" s="1"/>
  <c r="BA76" i="10"/>
  <c r="AZ75" i="10"/>
  <c r="AY16" i="10"/>
  <c r="BA62" i="10"/>
  <c r="AZ61" i="10"/>
  <c r="BB42" i="10"/>
  <c r="BC80" i="10" s="1"/>
  <c r="BB43" i="10"/>
  <c r="BC81" i="10" s="1"/>
  <c r="BB41" i="10"/>
  <c r="BC79" i="10" s="1"/>
  <c r="BB44" i="10"/>
  <c r="BC82" i="10" s="1"/>
  <c r="BB40" i="10"/>
  <c r="BC78" i="10" s="1"/>
  <c r="BB37" i="10"/>
  <c r="BC38" i="10"/>
  <c r="AY32" i="10"/>
  <c r="AY30" i="10"/>
  <c r="AY28" i="10"/>
  <c r="AY29" i="10"/>
  <c r="AY31" i="10"/>
  <c r="AY18" i="10"/>
  <c r="AY20" i="10"/>
  <c r="AX34" i="10"/>
  <c r="BA50" i="10"/>
  <c r="AZ49" i="10"/>
  <c r="AZ15" i="10"/>
  <c r="AZ39" i="10"/>
  <c r="AZ63" i="10"/>
  <c r="AZ51" i="10"/>
  <c r="AZ77" i="10"/>
  <c r="AZ27" i="10"/>
  <c r="AY19" i="10"/>
  <c r="BB25" i="10"/>
  <c r="BC26" i="10"/>
  <c r="BA14" i="10"/>
  <c r="AZ13" i="10"/>
  <c r="AX58" i="10" l="1"/>
  <c r="BC84" i="10"/>
  <c r="AY55" i="10"/>
  <c r="AY67" i="10"/>
  <c r="AX72" i="10"/>
  <c r="AX70" i="10" s="1"/>
  <c r="AY54" i="10"/>
  <c r="AY66" i="10"/>
  <c r="AY56" i="10"/>
  <c r="AY68" i="10"/>
  <c r="AY52" i="10"/>
  <c r="AY64" i="10"/>
  <c r="AY22" i="10"/>
  <c r="AY71" i="10" s="1"/>
  <c r="AZ32" i="10"/>
  <c r="AZ30" i="10"/>
  <c r="AZ28" i="10"/>
  <c r="AZ29" i="10"/>
  <c r="AZ31" i="10"/>
  <c r="AZ16" i="10"/>
  <c r="AZ18" i="10"/>
  <c r="AZ20" i="10"/>
  <c r="BA61" i="10"/>
  <c r="BB62" i="10"/>
  <c r="BC43" i="10"/>
  <c r="BD81" i="10" s="1"/>
  <c r="BC41" i="10"/>
  <c r="BD79" i="10" s="1"/>
  <c r="BC44" i="10"/>
  <c r="BD82" i="10" s="1"/>
  <c r="BC40" i="10"/>
  <c r="BD78" i="10" s="1"/>
  <c r="BC42" i="10"/>
  <c r="BD80" i="10" s="1"/>
  <c r="BD38" i="10"/>
  <c r="BC37" i="10"/>
  <c r="AZ19" i="10"/>
  <c r="AY58" i="10"/>
  <c r="AY34" i="10"/>
  <c r="AZ17" i="10"/>
  <c r="BA15" i="10"/>
  <c r="BA39" i="10"/>
  <c r="BA63" i="10"/>
  <c r="BA77" i="10"/>
  <c r="BA51" i="10"/>
  <c r="BA27" i="10"/>
  <c r="BA49" i="10"/>
  <c r="BB50" i="10"/>
  <c r="BB76" i="10"/>
  <c r="BA75" i="10"/>
  <c r="BD26" i="10"/>
  <c r="BC25" i="10"/>
  <c r="BB14" i="10"/>
  <c r="BA13" i="10"/>
  <c r="BA18" i="10" s="1"/>
  <c r="AY72" i="10" l="1"/>
  <c r="AY70" i="10" s="1"/>
  <c r="BD84" i="10"/>
  <c r="AZ53" i="10"/>
  <c r="AZ65" i="10"/>
  <c r="AZ54" i="10"/>
  <c r="AZ66" i="10"/>
  <c r="BA54" i="10"/>
  <c r="BA66" i="10"/>
  <c r="AZ55" i="10"/>
  <c r="AZ67" i="10"/>
  <c r="AZ56" i="10"/>
  <c r="AZ68" i="10"/>
  <c r="AZ52" i="10"/>
  <c r="AZ64" i="10"/>
  <c r="BD41" i="10"/>
  <c r="BE79" i="10" s="1"/>
  <c r="BD44" i="10"/>
  <c r="BE82" i="10" s="1"/>
  <c r="BD40" i="10"/>
  <c r="BE78" i="10" s="1"/>
  <c r="BD42" i="10"/>
  <c r="BE80" i="10" s="1"/>
  <c r="BD43" i="10"/>
  <c r="BE81" i="10" s="1"/>
  <c r="BD37" i="10"/>
  <c r="BE38" i="10"/>
  <c r="BA29" i="10"/>
  <c r="BA32" i="10"/>
  <c r="BA30" i="10"/>
  <c r="BA28" i="10"/>
  <c r="BA31" i="10"/>
  <c r="BA19" i="10"/>
  <c r="BB15" i="10"/>
  <c r="BB39" i="10"/>
  <c r="BB77" i="10"/>
  <c r="BB51" i="10"/>
  <c r="BB63" i="10"/>
  <c r="BB27" i="10"/>
  <c r="BA17" i="10"/>
  <c r="BB75" i="10"/>
  <c r="BC76" i="10"/>
  <c r="AZ34" i="10"/>
  <c r="BA20" i="10"/>
  <c r="BB49" i="10"/>
  <c r="BC50" i="10"/>
  <c r="BA16" i="10"/>
  <c r="BC62" i="10"/>
  <c r="BB61" i="10"/>
  <c r="BD25" i="10"/>
  <c r="BE26" i="10"/>
  <c r="BC14" i="10"/>
  <c r="BB13" i="10"/>
  <c r="BB17" i="10" s="1"/>
  <c r="AZ22" i="10"/>
  <c r="AZ71" i="10" s="1"/>
  <c r="AZ72" i="10" l="1"/>
  <c r="AZ70" i="10"/>
  <c r="BE84" i="10"/>
  <c r="AZ58" i="10"/>
  <c r="BA52" i="10"/>
  <c r="BA64" i="10"/>
  <c r="BB53" i="10"/>
  <c r="BB65" i="10"/>
  <c r="BB16" i="10"/>
  <c r="BA55" i="10"/>
  <c r="BA67" i="10"/>
  <c r="BA56" i="10"/>
  <c r="BA68" i="10"/>
  <c r="BA53" i="10"/>
  <c r="BA58" i="10" s="1"/>
  <c r="BA65" i="10"/>
  <c r="BA22" i="10"/>
  <c r="BA71" i="10" s="1"/>
  <c r="BA34" i="10"/>
  <c r="BB19" i="10"/>
  <c r="BB18" i="10"/>
  <c r="BD50" i="10"/>
  <c r="BC49" i="10"/>
  <c r="BC75" i="10"/>
  <c r="BD76" i="10"/>
  <c r="BE41" i="10"/>
  <c r="BF79" i="10" s="1"/>
  <c r="BE44" i="10"/>
  <c r="BF82" i="10" s="1"/>
  <c r="BE42" i="10"/>
  <c r="BF80" i="10" s="1"/>
  <c r="BE40" i="10"/>
  <c r="BF78" i="10" s="1"/>
  <c r="BE43" i="10"/>
  <c r="BF81" i="10" s="1"/>
  <c r="BF38" i="10"/>
  <c r="BE37" i="10"/>
  <c r="BC15" i="10"/>
  <c r="BC27" i="10"/>
  <c r="BC39" i="10"/>
  <c r="BC63" i="10"/>
  <c r="BC77" i="10"/>
  <c r="BC51" i="10"/>
  <c r="BC61" i="10"/>
  <c r="BD62" i="10"/>
  <c r="BB31" i="10"/>
  <c r="BB29" i="10"/>
  <c r="BB32" i="10"/>
  <c r="BB30" i="10"/>
  <c r="BB28" i="10"/>
  <c r="BB20" i="10"/>
  <c r="BF26" i="10"/>
  <c r="BE25" i="10"/>
  <c r="BD14" i="10"/>
  <c r="BC13" i="10"/>
  <c r="BC20" i="10" s="1"/>
  <c r="BB34" i="10" l="1"/>
  <c r="BF84" i="10"/>
  <c r="BC56" i="10"/>
  <c r="BC68" i="10"/>
  <c r="BB55" i="10"/>
  <c r="BB67" i="10"/>
  <c r="BB56" i="10"/>
  <c r="BB68" i="10"/>
  <c r="BB52" i="10"/>
  <c r="BB64" i="10"/>
  <c r="BB54" i="10"/>
  <c r="BB66" i="10"/>
  <c r="BA72" i="10"/>
  <c r="BA70" i="10" s="1"/>
  <c r="BB22" i="10"/>
  <c r="BB71" i="10" s="1"/>
  <c r="BE76" i="10"/>
  <c r="BD75" i="10"/>
  <c r="BC31" i="10"/>
  <c r="BC29" i="10"/>
  <c r="BC32" i="10"/>
  <c r="BC30" i="10"/>
  <c r="BC28" i="10"/>
  <c r="BD49" i="10"/>
  <c r="BE50" i="10"/>
  <c r="BC19" i="10"/>
  <c r="BD15" i="10"/>
  <c r="BD27" i="10"/>
  <c r="BD39" i="10"/>
  <c r="BD63" i="10"/>
  <c r="BD77" i="10"/>
  <c r="BD51" i="10"/>
  <c r="BC16" i="10"/>
  <c r="BC17" i="10"/>
  <c r="BE62" i="10"/>
  <c r="BD61" i="10"/>
  <c r="BF44" i="10"/>
  <c r="BG82" i="10" s="1"/>
  <c r="BF42" i="10"/>
  <c r="BG80" i="10" s="1"/>
  <c r="BF40" i="10"/>
  <c r="BG78" i="10" s="1"/>
  <c r="BF41" i="10"/>
  <c r="BG79" i="10" s="1"/>
  <c r="BF43" i="10"/>
  <c r="BG81" i="10" s="1"/>
  <c r="BF37" i="10"/>
  <c r="BG38" i="10"/>
  <c r="BC18" i="10"/>
  <c r="BF25" i="10"/>
  <c r="BG26" i="10"/>
  <c r="BE14" i="10"/>
  <c r="BD13" i="10"/>
  <c r="BD17" i="10" s="1"/>
  <c r="BG84" i="10" l="1"/>
  <c r="BD53" i="10"/>
  <c r="BD65" i="10"/>
  <c r="BB72" i="10"/>
  <c r="BC54" i="10"/>
  <c r="BC66" i="10"/>
  <c r="BC55" i="10"/>
  <c r="BC67" i="10"/>
  <c r="BC52" i="10"/>
  <c r="BC64" i="10"/>
  <c r="BC53" i="10"/>
  <c r="BC65" i="10"/>
  <c r="BB70" i="10"/>
  <c r="BB58" i="10"/>
  <c r="BC34" i="10"/>
  <c r="BE15" i="10"/>
  <c r="BE27" i="10"/>
  <c r="BE39" i="10"/>
  <c r="BE63" i="10"/>
  <c r="BE77" i="10"/>
  <c r="BE51" i="10"/>
  <c r="BD20" i="10"/>
  <c r="BD16" i="10"/>
  <c r="BE49" i="10"/>
  <c r="BF50" i="10"/>
  <c r="BF62" i="10"/>
  <c r="BE61" i="10"/>
  <c r="BD19" i="10"/>
  <c r="BD31" i="10"/>
  <c r="BD29" i="10"/>
  <c r="BD32" i="10"/>
  <c r="BD30" i="10"/>
  <c r="BD28" i="10"/>
  <c r="BD18" i="10"/>
  <c r="BG43" i="10"/>
  <c r="BH81" i="10" s="1"/>
  <c r="BG44" i="10"/>
  <c r="BH82" i="10" s="1"/>
  <c r="BG42" i="10"/>
  <c r="BH80" i="10" s="1"/>
  <c r="BG40" i="10"/>
  <c r="BH78" i="10" s="1"/>
  <c r="BG41" i="10"/>
  <c r="BH79" i="10" s="1"/>
  <c r="BG37" i="10"/>
  <c r="BH38" i="10"/>
  <c r="BF76" i="10"/>
  <c r="BE75" i="10"/>
  <c r="BG25" i="10"/>
  <c r="BH26" i="10"/>
  <c r="BF14" i="10"/>
  <c r="BE13" i="10"/>
  <c r="BC22" i="10"/>
  <c r="BC71" i="10" s="1"/>
  <c r="BC58" i="10" l="1"/>
  <c r="BH84" i="10"/>
  <c r="BD55" i="10"/>
  <c r="BD67" i="10"/>
  <c r="BD52" i="10"/>
  <c r="BD64" i="10"/>
  <c r="BC72" i="10"/>
  <c r="BC70" i="10" s="1"/>
  <c r="BD56" i="10"/>
  <c r="BD68" i="10"/>
  <c r="BD54" i="10"/>
  <c r="BD58" i="10" s="1"/>
  <c r="BD66" i="10"/>
  <c r="BD22" i="10"/>
  <c r="BD71" i="10" s="1"/>
  <c r="BE31" i="10"/>
  <c r="BE29" i="10"/>
  <c r="BE32" i="10"/>
  <c r="BE30" i="10"/>
  <c r="BE28" i="10"/>
  <c r="BF61" i="10"/>
  <c r="BG62" i="10"/>
  <c r="BE17" i="10"/>
  <c r="BE18" i="10"/>
  <c r="BD34" i="10"/>
  <c r="BH44" i="10"/>
  <c r="BI82" i="10" s="1"/>
  <c r="BH43" i="10"/>
  <c r="BI81" i="10" s="1"/>
  <c r="BH42" i="10"/>
  <c r="BI80" i="10" s="1"/>
  <c r="BH40" i="10"/>
  <c r="BI78" i="10" s="1"/>
  <c r="BH41" i="10"/>
  <c r="BI79" i="10" s="1"/>
  <c r="BI38" i="10"/>
  <c r="BH37" i="10"/>
  <c r="BG50" i="10"/>
  <c r="BF49" i="10"/>
  <c r="BE19" i="10"/>
  <c r="BE20" i="10"/>
  <c r="BE16" i="10"/>
  <c r="BE64" i="10" s="1"/>
  <c r="BF75" i="10"/>
  <c r="BG76" i="10"/>
  <c r="BF15" i="10"/>
  <c r="BF39" i="10"/>
  <c r="BF63" i="10"/>
  <c r="BF27" i="10"/>
  <c r="BF77" i="10"/>
  <c r="BF51" i="10"/>
  <c r="BI26" i="10"/>
  <c r="BH25" i="10"/>
  <c r="BG14" i="10"/>
  <c r="BF13" i="10"/>
  <c r="BF20" i="10" s="1"/>
  <c r="BE34" i="10" l="1"/>
  <c r="BI84" i="10"/>
  <c r="BE53" i="10"/>
  <c r="BE65" i="10"/>
  <c r="BF56" i="10"/>
  <c r="BF68" i="10"/>
  <c r="BE54" i="10"/>
  <c r="BE66" i="10"/>
  <c r="BE55" i="10"/>
  <c r="BE67" i="10"/>
  <c r="BD72" i="10"/>
  <c r="BD70" i="10" s="1"/>
  <c r="BE56" i="10"/>
  <c r="BE68" i="10"/>
  <c r="BG15" i="10"/>
  <c r="BG51" i="10"/>
  <c r="BG27" i="10"/>
  <c r="BG39" i="10"/>
  <c r="BG63" i="10"/>
  <c r="BG77" i="10"/>
  <c r="BH76" i="10"/>
  <c r="BG75" i="10"/>
  <c r="BE52" i="10"/>
  <c r="BE22" i="10"/>
  <c r="BE71" i="10" s="1"/>
  <c r="BG49" i="10"/>
  <c r="BH50" i="10"/>
  <c r="BF29" i="10"/>
  <c r="BF30" i="10"/>
  <c r="BF32" i="10"/>
  <c r="BF31" i="10"/>
  <c r="BF28" i="10"/>
  <c r="BF18" i="10"/>
  <c r="BF17" i="10"/>
  <c r="BG61" i="10"/>
  <c r="BH62" i="10"/>
  <c r="BF19" i="10"/>
  <c r="BF16" i="10"/>
  <c r="BI44" i="10"/>
  <c r="BJ82" i="10" s="1"/>
  <c r="BI43" i="10"/>
  <c r="BJ81" i="10" s="1"/>
  <c r="BI42" i="10"/>
  <c r="BJ80" i="10" s="1"/>
  <c r="BI40" i="10"/>
  <c r="BJ78" i="10" s="1"/>
  <c r="BI41" i="10"/>
  <c r="BJ79" i="10" s="1"/>
  <c r="BI37" i="10"/>
  <c r="BJ38" i="10"/>
  <c r="BJ26" i="10"/>
  <c r="BI25" i="10"/>
  <c r="BH14" i="10"/>
  <c r="BG13" i="10"/>
  <c r="BJ84" i="10" l="1"/>
  <c r="BE72" i="10"/>
  <c r="BF54" i="10"/>
  <c r="BF66" i="10"/>
  <c r="BE70" i="10"/>
  <c r="BF53" i="10"/>
  <c r="BF65" i="10"/>
  <c r="BE58" i="10"/>
  <c r="BF52" i="10"/>
  <c r="BF64" i="10"/>
  <c r="BF55" i="10"/>
  <c r="BF67" i="10"/>
  <c r="BF22" i="10"/>
  <c r="BF71" i="10" s="1"/>
  <c r="BF34" i="10"/>
  <c r="BG29" i="10"/>
  <c r="BG30" i="10"/>
  <c r="BG32" i="10"/>
  <c r="BG31" i="10"/>
  <c r="BG28" i="10"/>
  <c r="BG19" i="10"/>
  <c r="BH61" i="10"/>
  <c r="BI62" i="10"/>
  <c r="BI76" i="10"/>
  <c r="BH75" i="10"/>
  <c r="BJ44" i="10"/>
  <c r="BK82" i="10" s="1"/>
  <c r="BJ43" i="10"/>
  <c r="BK81" i="10" s="1"/>
  <c r="BJ42" i="10"/>
  <c r="BK80" i="10" s="1"/>
  <c r="BJ40" i="10"/>
  <c r="BK78" i="10" s="1"/>
  <c r="BJ41" i="10"/>
  <c r="BK79" i="10" s="1"/>
  <c r="BK38" i="10"/>
  <c r="BJ37" i="10"/>
  <c r="BG17" i="10"/>
  <c r="BG18" i="10"/>
  <c r="BH15" i="10"/>
  <c r="BH51" i="10"/>
  <c r="BH27" i="10"/>
  <c r="BH39" i="10"/>
  <c r="BH63" i="10"/>
  <c r="BH77" i="10"/>
  <c r="BG20" i="10"/>
  <c r="BH49" i="10"/>
  <c r="BI50" i="10"/>
  <c r="BG16" i="10"/>
  <c r="BJ25" i="10"/>
  <c r="BK26" i="10"/>
  <c r="BI14" i="10"/>
  <c r="BH13" i="10"/>
  <c r="BK84" i="10" l="1"/>
  <c r="BG53" i="10"/>
  <c r="BG65" i="10"/>
  <c r="BG56" i="10"/>
  <c r="BG68" i="10"/>
  <c r="BF72" i="10"/>
  <c r="BF70" i="10" s="1"/>
  <c r="BG54" i="10"/>
  <c r="BG66" i="10"/>
  <c r="BG52" i="10"/>
  <c r="BG64" i="10"/>
  <c r="BF58" i="10"/>
  <c r="BG55" i="10"/>
  <c r="BG67" i="10"/>
  <c r="BG34" i="10"/>
  <c r="BJ76" i="10"/>
  <c r="BI75" i="10"/>
  <c r="BI15" i="10"/>
  <c r="BI39" i="10"/>
  <c r="BI51" i="10"/>
  <c r="BI27" i="10"/>
  <c r="BI63" i="10"/>
  <c r="BI77" i="10"/>
  <c r="BK44" i="10"/>
  <c r="BL82" i="10" s="1"/>
  <c r="BK42" i="10"/>
  <c r="BL80" i="10" s="1"/>
  <c r="BK40" i="10"/>
  <c r="BL78" i="10" s="1"/>
  <c r="BK43" i="10"/>
  <c r="BL81" i="10" s="1"/>
  <c r="BK41" i="10"/>
  <c r="BL79" i="10" s="1"/>
  <c r="BK37" i="10"/>
  <c r="BL38" i="10"/>
  <c r="BH29" i="10"/>
  <c r="BH30" i="10"/>
  <c r="BH32" i="10"/>
  <c r="BH31" i="10"/>
  <c r="BH28" i="10"/>
  <c r="BH17" i="10"/>
  <c r="BH19" i="10"/>
  <c r="BG22" i="10"/>
  <c r="BG71" i="10" s="1"/>
  <c r="BJ62" i="10"/>
  <c r="BI61" i="10"/>
  <c r="BH20" i="10"/>
  <c r="BH18" i="10"/>
  <c r="BH16" i="10"/>
  <c r="BI49" i="10"/>
  <c r="BJ50" i="10"/>
  <c r="BL26" i="10"/>
  <c r="BK25" i="10"/>
  <c r="BJ14" i="10"/>
  <c r="BI13" i="10"/>
  <c r="BI19" i="10" s="1"/>
  <c r="BL84" i="10" l="1"/>
  <c r="BG58" i="10"/>
  <c r="BG72" i="10"/>
  <c r="BH52" i="10"/>
  <c r="BH64" i="10"/>
  <c r="BG70" i="10"/>
  <c r="BH53" i="10"/>
  <c r="BH65" i="10"/>
  <c r="BH56" i="10"/>
  <c r="BH68" i="10"/>
  <c r="BH55" i="10"/>
  <c r="BH67" i="10"/>
  <c r="BH54" i="10"/>
  <c r="BH58" i="10" s="1"/>
  <c r="BH66" i="10"/>
  <c r="BI55" i="10"/>
  <c r="BI67" i="10"/>
  <c r="BI17" i="10"/>
  <c r="BI16" i="10"/>
  <c r="BL43" i="10"/>
  <c r="BM81" i="10" s="1"/>
  <c r="BL42" i="10"/>
  <c r="BM80" i="10" s="1"/>
  <c r="BL40" i="10"/>
  <c r="BM78" i="10" s="1"/>
  <c r="BL44" i="10"/>
  <c r="BM82" i="10" s="1"/>
  <c r="BL41" i="10"/>
  <c r="BM79" i="10" s="1"/>
  <c r="BL37" i="10"/>
  <c r="BM38" i="10"/>
  <c r="BJ49" i="10"/>
  <c r="BK50" i="10"/>
  <c r="BH34" i="10"/>
  <c r="BI29" i="10"/>
  <c r="BI30" i="10"/>
  <c r="BI31" i="10"/>
  <c r="BI32" i="10"/>
  <c r="BI28" i="10"/>
  <c r="BJ61" i="10"/>
  <c r="BK62" i="10"/>
  <c r="BI20" i="10"/>
  <c r="BJ15" i="10"/>
  <c r="BJ39" i="10"/>
  <c r="BJ27" i="10"/>
  <c r="BJ63" i="10"/>
  <c r="BJ51" i="10"/>
  <c r="BJ77" i="10"/>
  <c r="BI18" i="10"/>
  <c r="BH22" i="10"/>
  <c r="BH71" i="10" s="1"/>
  <c r="BJ75" i="10"/>
  <c r="BK76" i="10"/>
  <c r="BL25" i="10"/>
  <c r="BM26" i="10"/>
  <c r="BK14" i="10"/>
  <c r="BJ13" i="10"/>
  <c r="BJ19" i="10" s="1"/>
  <c r="BM84" i="10" l="1"/>
  <c r="BI53" i="10"/>
  <c r="BI65" i="10"/>
  <c r="BI52" i="10"/>
  <c r="BI64" i="10"/>
  <c r="BI54" i="10"/>
  <c r="BI66" i="10"/>
  <c r="BH72" i="10"/>
  <c r="BH70" i="10" s="1"/>
  <c r="BI56" i="10"/>
  <c r="BI68" i="10"/>
  <c r="BJ55" i="10"/>
  <c r="BJ67" i="10"/>
  <c r="BJ17" i="10"/>
  <c r="BJ18" i="10"/>
  <c r="BJ16" i="10"/>
  <c r="BI22" i="10"/>
  <c r="BI71" i="10" s="1"/>
  <c r="BK15" i="10"/>
  <c r="BK39" i="10"/>
  <c r="BK27" i="10"/>
  <c r="BK63" i="10"/>
  <c r="BK51" i="10"/>
  <c r="BK77" i="10"/>
  <c r="BM43" i="10"/>
  <c r="BN81" i="10" s="1"/>
  <c r="BM42" i="10"/>
  <c r="BN80" i="10" s="1"/>
  <c r="BM40" i="10"/>
  <c r="BN78" i="10" s="1"/>
  <c r="BM44" i="10"/>
  <c r="BN82" i="10" s="1"/>
  <c r="BM41" i="10"/>
  <c r="BN79" i="10" s="1"/>
  <c r="BN38" i="10"/>
  <c r="BM37" i="10"/>
  <c r="BK75" i="10"/>
  <c r="BL76" i="10"/>
  <c r="BL50" i="10"/>
  <c r="BK49" i="10"/>
  <c r="BJ20" i="10"/>
  <c r="BL62" i="10"/>
  <c r="BK61" i="10"/>
  <c r="BJ30" i="10"/>
  <c r="BJ29" i="10"/>
  <c r="BJ28" i="10"/>
  <c r="BJ31" i="10"/>
  <c r="BJ32" i="10"/>
  <c r="BI34" i="10"/>
  <c r="BM25" i="10"/>
  <c r="BN26" i="10"/>
  <c r="BL14" i="10"/>
  <c r="BK13" i="10"/>
  <c r="BN84" i="10" l="1"/>
  <c r="BI58" i="10"/>
  <c r="BJ54" i="10"/>
  <c r="BJ66" i="10"/>
  <c r="BJ53" i="10"/>
  <c r="BJ65" i="10"/>
  <c r="BJ52" i="10"/>
  <c r="BJ64" i="10"/>
  <c r="BI72" i="10"/>
  <c r="BI70" i="10" s="1"/>
  <c r="BJ56" i="10"/>
  <c r="BJ68" i="10"/>
  <c r="BJ22" i="10"/>
  <c r="BJ71" i="10" s="1"/>
  <c r="BK28" i="10"/>
  <c r="BK30" i="10"/>
  <c r="BK29" i="10"/>
  <c r="BK31" i="10"/>
  <c r="BK32" i="10"/>
  <c r="BJ34" i="10"/>
  <c r="BK16" i="10"/>
  <c r="BK18" i="10"/>
  <c r="BM62" i="10"/>
  <c r="BL61" i="10"/>
  <c r="BK20" i="10"/>
  <c r="BL15" i="10"/>
  <c r="BL39" i="10"/>
  <c r="BL27" i="10"/>
  <c r="BL63" i="10"/>
  <c r="BL51" i="10"/>
  <c r="BL77" i="10"/>
  <c r="BM76" i="10"/>
  <c r="BL75" i="10"/>
  <c r="BN42" i="10"/>
  <c r="BO80" i="10" s="1"/>
  <c r="BN40" i="10"/>
  <c r="BO78" i="10" s="1"/>
  <c r="BN44" i="10"/>
  <c r="BO82" i="10" s="1"/>
  <c r="BN41" i="10"/>
  <c r="BO79" i="10" s="1"/>
  <c r="BN43" i="10"/>
  <c r="BO81" i="10" s="1"/>
  <c r="BN37" i="10"/>
  <c r="BO38" i="10"/>
  <c r="BK19" i="10"/>
  <c r="BL49" i="10"/>
  <c r="BM50" i="10"/>
  <c r="BK17" i="10"/>
  <c r="BN25" i="10"/>
  <c r="BO26" i="10"/>
  <c r="BM14" i="10"/>
  <c r="BL13" i="10"/>
  <c r="BL19" i="10" s="1"/>
  <c r="BO84" i="10" l="1"/>
  <c r="BL55" i="10"/>
  <c r="BL67" i="10"/>
  <c r="BJ72" i="10"/>
  <c r="BJ58" i="10"/>
  <c r="BJ70" i="10"/>
  <c r="BK53" i="10"/>
  <c r="BK65" i="10"/>
  <c r="BK55" i="10"/>
  <c r="BK67" i="10"/>
  <c r="BK56" i="10"/>
  <c r="BK68" i="10"/>
  <c r="BK54" i="10"/>
  <c r="BK66" i="10"/>
  <c r="BK52" i="10"/>
  <c r="BK58" i="10" s="1"/>
  <c r="BK64" i="10"/>
  <c r="BO44" i="10"/>
  <c r="BP82" i="10" s="1"/>
  <c r="BO41" i="10"/>
  <c r="BP79" i="10" s="1"/>
  <c r="BO40" i="10"/>
  <c r="BP78" i="10" s="1"/>
  <c r="BO43" i="10"/>
  <c r="BP81" i="10" s="1"/>
  <c r="BO42" i="10"/>
  <c r="BP80" i="10" s="1"/>
  <c r="BO37" i="10"/>
  <c r="BP38" i="10"/>
  <c r="BK22" i="10"/>
  <c r="BK71" i="10" s="1"/>
  <c r="BL16" i="10"/>
  <c r="BL20" i="10"/>
  <c r="BL17" i="10"/>
  <c r="BM75" i="10"/>
  <c r="BN76" i="10"/>
  <c r="BL18" i="10"/>
  <c r="BM49" i="10"/>
  <c r="BN50" i="10"/>
  <c r="BL28" i="10"/>
  <c r="BL30" i="10"/>
  <c r="BL29" i="10"/>
  <c r="BL31" i="10"/>
  <c r="BL32" i="10"/>
  <c r="BM61" i="10"/>
  <c r="BN62" i="10"/>
  <c r="BM15" i="10"/>
  <c r="BM51" i="10"/>
  <c r="BM77" i="10"/>
  <c r="BM39" i="10"/>
  <c r="BM27" i="10"/>
  <c r="BM63" i="10"/>
  <c r="BK34" i="10"/>
  <c r="BO25" i="10"/>
  <c r="BP26" i="10"/>
  <c r="BN14" i="10"/>
  <c r="BM13" i="10"/>
  <c r="BM17" i="10" s="1"/>
  <c r="BK72" i="10" l="1"/>
  <c r="BP84" i="10"/>
  <c r="BL53" i="10"/>
  <c r="BL65" i="10"/>
  <c r="BL54" i="10"/>
  <c r="BL66" i="10"/>
  <c r="BL56" i="10"/>
  <c r="BL68" i="10"/>
  <c r="BK70" i="10"/>
  <c r="BL52" i="10"/>
  <c r="BL58" i="10" s="1"/>
  <c r="BL64" i="10"/>
  <c r="BL72" i="10" s="1"/>
  <c r="BM53" i="10"/>
  <c r="BM65" i="10"/>
  <c r="BN61" i="10"/>
  <c r="BO62" i="10"/>
  <c r="BM20" i="10"/>
  <c r="BN15" i="10"/>
  <c r="BN51" i="10"/>
  <c r="BN77" i="10"/>
  <c r="BN39" i="10"/>
  <c r="BN27" i="10"/>
  <c r="BN63" i="10"/>
  <c r="BO76" i="10"/>
  <c r="BN75" i="10"/>
  <c r="BM16" i="10"/>
  <c r="BM19" i="10"/>
  <c r="BM18" i="10"/>
  <c r="BM28" i="10"/>
  <c r="BM30" i="10"/>
  <c r="BM29" i="10"/>
  <c r="BM31" i="10"/>
  <c r="BM32" i="10"/>
  <c r="BN49" i="10"/>
  <c r="BO50" i="10"/>
  <c r="BP44" i="10"/>
  <c r="BQ82" i="10" s="1"/>
  <c r="BP41" i="10"/>
  <c r="BQ79" i="10" s="1"/>
  <c r="BP43" i="10"/>
  <c r="BQ81" i="10" s="1"/>
  <c r="BP42" i="10"/>
  <c r="BQ80" i="10" s="1"/>
  <c r="BP40" i="10"/>
  <c r="BQ78" i="10" s="1"/>
  <c r="BQ38" i="10"/>
  <c r="BP37" i="10"/>
  <c r="BL34" i="10"/>
  <c r="BQ26" i="10"/>
  <c r="BP25" i="10"/>
  <c r="BN13" i="10"/>
  <c r="BN19" i="10" s="1"/>
  <c r="BO14" i="10"/>
  <c r="BL22" i="10"/>
  <c r="BL71" i="10" s="1"/>
  <c r="BQ84" i="10" l="1"/>
  <c r="BM56" i="10"/>
  <c r="BM68" i="10"/>
  <c r="BM54" i="10"/>
  <c r="BM66" i="10"/>
  <c r="BM52" i="10"/>
  <c r="BM64" i="10"/>
  <c r="BN55" i="10"/>
  <c r="BN67" i="10"/>
  <c r="BL70" i="10"/>
  <c r="BM55" i="10"/>
  <c r="BM58" i="10" s="1"/>
  <c r="BM67" i="10"/>
  <c r="BM22" i="10"/>
  <c r="BM71" i="10" s="1"/>
  <c r="BP76" i="10"/>
  <c r="BO75" i="10"/>
  <c r="BN18" i="10"/>
  <c r="BO15" i="10"/>
  <c r="BO63" i="10"/>
  <c r="BO51" i="10"/>
  <c r="BO77" i="10"/>
  <c r="BO39" i="10"/>
  <c r="BO27" i="10"/>
  <c r="BN16" i="10"/>
  <c r="BM34" i="10"/>
  <c r="BN20" i="10"/>
  <c r="BN17" i="10"/>
  <c r="BO49" i="10"/>
  <c r="BP50" i="10"/>
  <c r="BO61" i="10"/>
  <c r="BP62" i="10"/>
  <c r="BN32" i="10"/>
  <c r="BN28" i="10"/>
  <c r="BN30" i="10"/>
  <c r="BN29" i="10"/>
  <c r="BN31" i="10"/>
  <c r="BQ42" i="10"/>
  <c r="BR80" i="10" s="1"/>
  <c r="BQ44" i="10"/>
  <c r="BR82" i="10" s="1"/>
  <c r="BQ41" i="10"/>
  <c r="BR79" i="10" s="1"/>
  <c r="BQ43" i="10"/>
  <c r="BR81" i="10" s="1"/>
  <c r="BQ40" i="10"/>
  <c r="BR78" i="10" s="1"/>
  <c r="BQ37" i="10"/>
  <c r="BR38" i="10"/>
  <c r="BR26" i="10"/>
  <c r="BQ25" i="10"/>
  <c r="BP14" i="10"/>
  <c r="BO13" i="10"/>
  <c r="BR84" i="10" l="1"/>
  <c r="BN53" i="10"/>
  <c r="BN65" i="10"/>
  <c r="BN56" i="10"/>
  <c r="BN68" i="10"/>
  <c r="BN52" i="10"/>
  <c r="BN64" i="10"/>
  <c r="BN54" i="10"/>
  <c r="BN66" i="10"/>
  <c r="BM72" i="10"/>
  <c r="BM70" i="10" s="1"/>
  <c r="BP15" i="10"/>
  <c r="BP63" i="10"/>
  <c r="BP51" i="10"/>
  <c r="BP77" i="10"/>
  <c r="BP27" i="10"/>
  <c r="BP39" i="10"/>
  <c r="BO32" i="10"/>
  <c r="BO30" i="10"/>
  <c r="BO28" i="10"/>
  <c r="BO31" i="10"/>
  <c r="BO29" i="10"/>
  <c r="BN34" i="10"/>
  <c r="BO16" i="10"/>
  <c r="BO17" i="10"/>
  <c r="BO18" i="10"/>
  <c r="BQ62" i="10"/>
  <c r="BP61" i="10"/>
  <c r="BO20" i="10"/>
  <c r="BQ76" i="10"/>
  <c r="BP75" i="10"/>
  <c r="BN58" i="10"/>
  <c r="BO19" i="10"/>
  <c r="BR42" i="10"/>
  <c r="BS80" i="10" s="1"/>
  <c r="BR44" i="10"/>
  <c r="BS82" i="10" s="1"/>
  <c r="BR41" i="10"/>
  <c r="BS79" i="10" s="1"/>
  <c r="BR43" i="10"/>
  <c r="BS81" i="10" s="1"/>
  <c r="BR40" i="10"/>
  <c r="BS78" i="10" s="1"/>
  <c r="BR37" i="10"/>
  <c r="BS38" i="10"/>
  <c r="BN22" i="10"/>
  <c r="BN71" i="10" s="1"/>
  <c r="BP49" i="10"/>
  <c r="BQ50" i="10"/>
  <c r="BS26" i="10"/>
  <c r="BR25" i="10"/>
  <c r="BQ14" i="10"/>
  <c r="BP13" i="10"/>
  <c r="BP17" i="10" s="1"/>
  <c r="BS84" i="10" l="1"/>
  <c r="BO55" i="10"/>
  <c r="BO67" i="10"/>
  <c r="BO53" i="10"/>
  <c r="BO65" i="10"/>
  <c r="BP53" i="10"/>
  <c r="BP65" i="10"/>
  <c r="BN72" i="10"/>
  <c r="BN70" i="10" s="1"/>
  <c r="BO56" i="10"/>
  <c r="BO68" i="10"/>
  <c r="BO54" i="10"/>
  <c r="BO66" i="10"/>
  <c r="BO52" i="10"/>
  <c r="BO64" i="10"/>
  <c r="BP18" i="10"/>
  <c r="BP16" i="10"/>
  <c r="BP19" i="10"/>
  <c r="BP20" i="10"/>
  <c r="BO22" i="10"/>
  <c r="BO71" i="10" s="1"/>
  <c r="BO34" i="10"/>
  <c r="BQ75" i="10"/>
  <c r="BR76" i="10"/>
  <c r="BR62" i="10"/>
  <c r="BQ61" i="10"/>
  <c r="BP32" i="10"/>
  <c r="BP28" i="10"/>
  <c r="BP30" i="10"/>
  <c r="BP31" i="10"/>
  <c r="BP29" i="10"/>
  <c r="BS44" i="10"/>
  <c r="BT82" i="10" s="1"/>
  <c r="BS41" i="10"/>
  <c r="BT79" i="10" s="1"/>
  <c r="BS43" i="10"/>
  <c r="BT81" i="10" s="1"/>
  <c r="BS42" i="10"/>
  <c r="BT80" i="10" s="1"/>
  <c r="BS40" i="10"/>
  <c r="BT78" i="10" s="1"/>
  <c r="BS37" i="10"/>
  <c r="BT38" i="10"/>
  <c r="BR50" i="10"/>
  <c r="BQ49" i="10"/>
  <c r="BQ15" i="10"/>
  <c r="BQ63" i="10"/>
  <c r="BQ51" i="10"/>
  <c r="BQ77" i="10"/>
  <c r="BQ39" i="10"/>
  <c r="BQ27" i="10"/>
  <c r="BT26" i="10"/>
  <c r="BS25" i="10"/>
  <c r="BR14" i="10"/>
  <c r="BQ13" i="10"/>
  <c r="BO58" i="10" l="1"/>
  <c r="BO72" i="10"/>
  <c r="BO70" i="10" s="1"/>
  <c r="BT84" i="10"/>
  <c r="BP55" i="10"/>
  <c r="BP67" i="10"/>
  <c r="BP52" i="10"/>
  <c r="BP64" i="10"/>
  <c r="BP54" i="10"/>
  <c r="BP66" i="10"/>
  <c r="BP56" i="10"/>
  <c r="BP68" i="10"/>
  <c r="BQ32" i="10"/>
  <c r="BQ28" i="10"/>
  <c r="BQ30" i="10"/>
  <c r="BQ31" i="10"/>
  <c r="BQ29" i="10"/>
  <c r="BQ19" i="10"/>
  <c r="BS50" i="10"/>
  <c r="BR49" i="10"/>
  <c r="BR61" i="10"/>
  <c r="BS62" i="10"/>
  <c r="BQ18" i="10"/>
  <c r="BQ16" i="10"/>
  <c r="BQ17" i="10"/>
  <c r="BS76" i="10"/>
  <c r="BR75" i="10"/>
  <c r="BQ20" i="10"/>
  <c r="BT44" i="10"/>
  <c r="BU82" i="10" s="1"/>
  <c r="BT41" i="10"/>
  <c r="BU79" i="10" s="1"/>
  <c r="BT43" i="10"/>
  <c r="BU81" i="10" s="1"/>
  <c r="BT42" i="10"/>
  <c r="BU80" i="10" s="1"/>
  <c r="BT40" i="10"/>
  <c r="BU78" i="10" s="1"/>
  <c r="BU38" i="10"/>
  <c r="BT37" i="10"/>
  <c r="BR15" i="10"/>
  <c r="BR51" i="10"/>
  <c r="BR77" i="10"/>
  <c r="BR63" i="10"/>
  <c r="BR27" i="10"/>
  <c r="BR39" i="10"/>
  <c r="BP34" i="10"/>
  <c r="BU26" i="10"/>
  <c r="BT25" i="10"/>
  <c r="BP22" i="10"/>
  <c r="BP71" i="10" s="1"/>
  <c r="BS14" i="10"/>
  <c r="BR13" i="10"/>
  <c r="BU84" i="10" l="1"/>
  <c r="BP72" i="10"/>
  <c r="BP70" i="10" s="1"/>
  <c r="BP58" i="10"/>
  <c r="BQ53" i="10"/>
  <c r="BQ65" i="10"/>
  <c r="BQ52" i="10"/>
  <c r="BQ64" i="10"/>
  <c r="BQ55" i="10"/>
  <c r="BQ67" i="10"/>
  <c r="BQ56" i="10"/>
  <c r="BQ68" i="10"/>
  <c r="BQ54" i="10"/>
  <c r="BQ58" i="10" s="1"/>
  <c r="BQ66" i="10"/>
  <c r="BU41" i="10"/>
  <c r="BV79" i="10" s="1"/>
  <c r="BU43" i="10"/>
  <c r="BV81" i="10" s="1"/>
  <c r="BU44" i="10"/>
  <c r="BV82" i="10" s="1"/>
  <c r="BU42" i="10"/>
  <c r="BV80" i="10" s="1"/>
  <c r="BU40" i="10"/>
  <c r="BV78" i="10" s="1"/>
  <c r="BV38" i="10"/>
  <c r="BU37" i="10"/>
  <c r="BT50" i="10"/>
  <c r="BS49" i="10"/>
  <c r="BR31" i="10"/>
  <c r="BR28" i="10"/>
  <c r="BR30" i="10"/>
  <c r="BR32" i="10"/>
  <c r="BR29" i="10"/>
  <c r="BS61" i="10"/>
  <c r="BT62" i="10"/>
  <c r="BR20" i="10"/>
  <c r="BR19" i="10"/>
  <c r="BS75" i="10"/>
  <c r="BT76" i="10"/>
  <c r="BS15" i="10"/>
  <c r="BS27" i="10"/>
  <c r="BS63" i="10"/>
  <c r="BS51" i="10"/>
  <c r="BS77" i="10"/>
  <c r="BS39" i="10"/>
  <c r="BQ34" i="10"/>
  <c r="BR16" i="10"/>
  <c r="BR17" i="10"/>
  <c r="BR18" i="10"/>
  <c r="BU25" i="10"/>
  <c r="BV26" i="10"/>
  <c r="BT14" i="10"/>
  <c r="BS13" i="10"/>
  <c r="BS17" i="10" s="1"/>
  <c r="BQ22" i="10"/>
  <c r="BQ71" i="10" s="1"/>
  <c r="BV84" i="10" l="1"/>
  <c r="BR52" i="10"/>
  <c r="BR64" i="10"/>
  <c r="BS53" i="10"/>
  <c r="BS65" i="10"/>
  <c r="BR55" i="10"/>
  <c r="BR67" i="10"/>
  <c r="BR53" i="10"/>
  <c r="BR65" i="10"/>
  <c r="BR56" i="10"/>
  <c r="BR68" i="10"/>
  <c r="BR54" i="10"/>
  <c r="BR66" i="10"/>
  <c r="BQ72" i="10"/>
  <c r="BQ70" i="10"/>
  <c r="BR22" i="10"/>
  <c r="BR71" i="10" s="1"/>
  <c r="BS18" i="10"/>
  <c r="BS19" i="10"/>
  <c r="BS16" i="10"/>
  <c r="BS20" i="10"/>
  <c r="BR34" i="10"/>
  <c r="BV41" i="10"/>
  <c r="BW79" i="10" s="1"/>
  <c r="BV43" i="10"/>
  <c r="BW81" i="10" s="1"/>
  <c r="BV44" i="10"/>
  <c r="BW82" i="10" s="1"/>
  <c r="BV42" i="10"/>
  <c r="BW80" i="10" s="1"/>
  <c r="BV40" i="10"/>
  <c r="BW78" i="10" s="1"/>
  <c r="BV37" i="10"/>
  <c r="BW38" i="10"/>
  <c r="BU76" i="10"/>
  <c r="BT75" i="10"/>
  <c r="BT61" i="10"/>
  <c r="BU62" i="10"/>
  <c r="BT49" i="10"/>
  <c r="BU50" i="10"/>
  <c r="BT15" i="10"/>
  <c r="BT39" i="10"/>
  <c r="BT27" i="10"/>
  <c r="BT63" i="10"/>
  <c r="BT51" i="10"/>
  <c r="BT77" i="10"/>
  <c r="BS31" i="10"/>
  <c r="BS28" i="10"/>
  <c r="BS30" i="10"/>
  <c r="BS32" i="10"/>
  <c r="BS29" i="10"/>
  <c r="BV25" i="10"/>
  <c r="BW26" i="10"/>
  <c r="BU14" i="10"/>
  <c r="BT13" i="10"/>
  <c r="BT18" i="10" s="1"/>
  <c r="BR58" i="10" l="1"/>
  <c r="BW84" i="10"/>
  <c r="BS56" i="10"/>
  <c r="BS68" i="10"/>
  <c r="BS54" i="10"/>
  <c r="BS66" i="10"/>
  <c r="BS52" i="10"/>
  <c r="BS64" i="10"/>
  <c r="BR72" i="10"/>
  <c r="BR70" i="10" s="1"/>
  <c r="BT54" i="10"/>
  <c r="BT66" i="10"/>
  <c r="BS55" i="10"/>
  <c r="BS67" i="10"/>
  <c r="BS22" i="10"/>
  <c r="BS71" i="10" s="1"/>
  <c r="BS58" i="10"/>
  <c r="BT17" i="10"/>
  <c r="BU61" i="10"/>
  <c r="BV62" i="10"/>
  <c r="BS34" i="10"/>
  <c r="BW43" i="10"/>
  <c r="BX81" i="10" s="1"/>
  <c r="BW40" i="10"/>
  <c r="BX78" i="10" s="1"/>
  <c r="BW42" i="10"/>
  <c r="BX80" i="10" s="1"/>
  <c r="BW44" i="10"/>
  <c r="BX82" i="10" s="1"/>
  <c r="BW41" i="10"/>
  <c r="BX79" i="10" s="1"/>
  <c r="BX38" i="10"/>
  <c r="BW37" i="10"/>
  <c r="BU49" i="10"/>
  <c r="BV50" i="10"/>
  <c r="BT31" i="10"/>
  <c r="BT28" i="10"/>
  <c r="BT30" i="10"/>
  <c r="BT32" i="10"/>
  <c r="BT29" i="10"/>
  <c r="BT20" i="10"/>
  <c r="BT16" i="10"/>
  <c r="BU75" i="10"/>
  <c r="BV76" i="10"/>
  <c r="BU15" i="10"/>
  <c r="BU39" i="10"/>
  <c r="BU27" i="10"/>
  <c r="BU63" i="10"/>
  <c r="BU51" i="10"/>
  <c r="BU77" i="10"/>
  <c r="BT19" i="10"/>
  <c r="BW25" i="10"/>
  <c r="BX26" i="10"/>
  <c r="BV14" i="10"/>
  <c r="BU13" i="10"/>
  <c r="BU19" i="10" s="1"/>
  <c r="BX84" i="10" l="1"/>
  <c r="BT53" i="10"/>
  <c r="BT65" i="10"/>
  <c r="BT55" i="10"/>
  <c r="BT67" i="10"/>
  <c r="BT52" i="10"/>
  <c r="BT64" i="10"/>
  <c r="BU55" i="10"/>
  <c r="BU67" i="10"/>
  <c r="BS72" i="10"/>
  <c r="BS70" i="10" s="1"/>
  <c r="BT56" i="10"/>
  <c r="BT68" i="10"/>
  <c r="BT58" i="10"/>
  <c r="BT22" i="10"/>
  <c r="BT71" i="10" s="1"/>
  <c r="BT34" i="10"/>
  <c r="BV49" i="10"/>
  <c r="BW50" i="10"/>
  <c r="BU17" i="10"/>
  <c r="BV75" i="10"/>
  <c r="BW76" i="10"/>
  <c r="BU29" i="10"/>
  <c r="BU31" i="10"/>
  <c r="BU32" i="10"/>
  <c r="BU28" i="10"/>
  <c r="BU30" i="10"/>
  <c r="BV15" i="10"/>
  <c r="BV39" i="10"/>
  <c r="BV63" i="10"/>
  <c r="BV51" i="10"/>
  <c r="BV77" i="10"/>
  <c r="BV27" i="10"/>
  <c r="BU20" i="10"/>
  <c r="BU16" i="10"/>
  <c r="BU18" i="10"/>
  <c r="BX44" i="10"/>
  <c r="BY82" i="10" s="1"/>
  <c r="BX43" i="10"/>
  <c r="BY81" i="10" s="1"/>
  <c r="BX40" i="10"/>
  <c r="BY78" i="10" s="1"/>
  <c r="BX42" i="10"/>
  <c r="BY80" i="10" s="1"/>
  <c r="BX41" i="10"/>
  <c r="BY79" i="10" s="1"/>
  <c r="BY38" i="10"/>
  <c r="BX37" i="10"/>
  <c r="BW62" i="10"/>
  <c r="BV61" i="10"/>
  <c r="BX25" i="10"/>
  <c r="BY26" i="10"/>
  <c r="BW14" i="10"/>
  <c r="BV13" i="10"/>
  <c r="BV20" i="10" s="1"/>
  <c r="BY84" i="10" l="1"/>
  <c r="BU56" i="10"/>
  <c r="BU68" i="10"/>
  <c r="BU53" i="10"/>
  <c r="BU65" i="10"/>
  <c r="BV56" i="10"/>
  <c r="BV68" i="10"/>
  <c r="BT72" i="10"/>
  <c r="BT70" i="10" s="1"/>
  <c r="BU54" i="10"/>
  <c r="BU66" i="10"/>
  <c r="BU52" i="10"/>
  <c r="BU64" i="10"/>
  <c r="BU22" i="10"/>
  <c r="BU71" i="10" s="1"/>
  <c r="BY44" i="10"/>
  <c r="BZ82" i="10" s="1"/>
  <c r="BY43" i="10"/>
  <c r="BZ81" i="10" s="1"/>
  <c r="BY40" i="10"/>
  <c r="BZ78" i="10" s="1"/>
  <c r="BY42" i="10"/>
  <c r="BZ80" i="10" s="1"/>
  <c r="BY41" i="10"/>
  <c r="BZ79" i="10" s="1"/>
  <c r="BY37" i="10"/>
  <c r="BZ38" i="10"/>
  <c r="BV17" i="10"/>
  <c r="BW15" i="10"/>
  <c r="BW51" i="10"/>
  <c r="BW39" i="10"/>
  <c r="BW27" i="10"/>
  <c r="BW63" i="10"/>
  <c r="BW77" i="10"/>
  <c r="BX50" i="10"/>
  <c r="BW49" i="10"/>
  <c r="BV29" i="10"/>
  <c r="BV30" i="10"/>
  <c r="BV32" i="10"/>
  <c r="BV28" i="10"/>
  <c r="BV31" i="10"/>
  <c r="BV19" i="10"/>
  <c r="BU34" i="10"/>
  <c r="BV18" i="10"/>
  <c r="BV16" i="10"/>
  <c r="BW75" i="10"/>
  <c r="BX76" i="10"/>
  <c r="BW61" i="10"/>
  <c r="BX62" i="10"/>
  <c r="BZ26" i="10"/>
  <c r="BY25" i="10"/>
  <c r="BX14" i="10"/>
  <c r="BW13" i="10"/>
  <c r="BU72" i="10" l="1"/>
  <c r="BU58" i="10"/>
  <c r="BU70" i="10"/>
  <c r="BZ84" i="10"/>
  <c r="BV54" i="10"/>
  <c r="BV66" i="10"/>
  <c r="BV52" i="10"/>
  <c r="BV64" i="10"/>
  <c r="BV53" i="10"/>
  <c r="BV65" i="10"/>
  <c r="BV55" i="10"/>
  <c r="BV67" i="10"/>
  <c r="BW29" i="10"/>
  <c r="BW30" i="10"/>
  <c r="BW32" i="10"/>
  <c r="BW28" i="10"/>
  <c r="BW31" i="10"/>
  <c r="BV22" i="10"/>
  <c r="BV71" i="10" s="1"/>
  <c r="BY50" i="10"/>
  <c r="BX49" i="10"/>
  <c r="BW17" i="10"/>
  <c r="BX15" i="10"/>
  <c r="BX51" i="10"/>
  <c r="BX39" i="10"/>
  <c r="BX27" i="10"/>
  <c r="BX77" i="10"/>
  <c r="BX63" i="10"/>
  <c r="BX61" i="10"/>
  <c r="BY62" i="10"/>
  <c r="BW20" i="10"/>
  <c r="BW18" i="10"/>
  <c r="BW16" i="10"/>
  <c r="BZ44" i="10"/>
  <c r="CA82" i="10" s="1"/>
  <c r="BZ43" i="10"/>
  <c r="CA81" i="10" s="1"/>
  <c r="BZ40" i="10"/>
  <c r="CA78" i="10" s="1"/>
  <c r="BZ42" i="10"/>
  <c r="CA80" i="10" s="1"/>
  <c r="BZ41" i="10"/>
  <c r="CA79" i="10" s="1"/>
  <c r="BZ37" i="10"/>
  <c r="CA38" i="10"/>
  <c r="BW19" i="10"/>
  <c r="BV34" i="10"/>
  <c r="BX75" i="10"/>
  <c r="BY76" i="10"/>
  <c r="CA26" i="10"/>
  <c r="BZ25" i="10"/>
  <c r="BY14" i="10"/>
  <c r="BX13" i="10"/>
  <c r="BX18" i="10" s="1"/>
  <c r="CA84" i="10" l="1"/>
  <c r="BW52" i="10"/>
  <c r="BW64" i="10"/>
  <c r="BW56" i="10"/>
  <c r="BW68" i="10"/>
  <c r="BW54" i="10"/>
  <c r="BW66" i="10"/>
  <c r="BW55" i="10"/>
  <c r="BW67" i="10"/>
  <c r="BX54" i="10"/>
  <c r="BX66" i="10"/>
  <c r="BV72" i="10"/>
  <c r="BV70" i="10" s="1"/>
  <c r="BV58" i="10"/>
  <c r="BW53" i="10"/>
  <c r="BW58" i="10" s="1"/>
  <c r="BW65" i="10"/>
  <c r="BW22" i="10"/>
  <c r="BW71" i="10" s="1"/>
  <c r="BX20" i="10"/>
  <c r="BY15" i="10"/>
  <c r="BY39" i="10"/>
  <c r="BY51" i="10"/>
  <c r="BY77" i="10"/>
  <c r="BY63" i="10"/>
  <c r="BY27" i="10"/>
  <c r="BY75" i="10"/>
  <c r="BZ76" i="10"/>
  <c r="BX17" i="10"/>
  <c r="BZ50" i="10"/>
  <c r="BY49" i="10"/>
  <c r="BX19" i="10"/>
  <c r="BZ62" i="10"/>
  <c r="BY61" i="10"/>
  <c r="CA44" i="10"/>
  <c r="CB82" i="10" s="1"/>
  <c r="CA43" i="10"/>
  <c r="CB81" i="10" s="1"/>
  <c r="CA40" i="10"/>
  <c r="CB78" i="10" s="1"/>
  <c r="CA42" i="10"/>
  <c r="CB80" i="10" s="1"/>
  <c r="CA41" i="10"/>
  <c r="CB79" i="10" s="1"/>
  <c r="CA37" i="10"/>
  <c r="CB38" i="10"/>
  <c r="BW34" i="10"/>
  <c r="BX29" i="10"/>
  <c r="BX30" i="10"/>
  <c r="BX32" i="10"/>
  <c r="BX31" i="10"/>
  <c r="BX28" i="10"/>
  <c r="BX16" i="10"/>
  <c r="CB26" i="10"/>
  <c r="CA25" i="10"/>
  <c r="BZ14" i="10"/>
  <c r="BY13" i="10"/>
  <c r="CB84" i="10" l="1"/>
  <c r="BX53" i="10"/>
  <c r="BX65" i="10"/>
  <c r="BX55" i="10"/>
  <c r="BX67" i="10"/>
  <c r="BW72" i="10"/>
  <c r="BW70" i="10" s="1"/>
  <c r="BX52" i="10"/>
  <c r="BX64" i="10"/>
  <c r="BX56" i="10"/>
  <c r="BX68" i="10"/>
  <c r="BY29" i="10"/>
  <c r="BY30" i="10"/>
  <c r="BY32" i="10"/>
  <c r="BY28" i="10"/>
  <c r="BY31" i="10"/>
  <c r="CB43" i="10"/>
  <c r="CC81" i="10" s="1"/>
  <c r="CB40" i="10"/>
  <c r="CC78" i="10" s="1"/>
  <c r="CB42" i="10"/>
  <c r="CC80" i="10" s="1"/>
  <c r="CB41" i="10"/>
  <c r="CC79" i="10" s="1"/>
  <c r="CB44" i="10"/>
  <c r="CC82" i="10" s="1"/>
  <c r="CB37" i="10"/>
  <c r="CC38" i="10"/>
  <c r="BY18" i="10"/>
  <c r="BY17" i="10"/>
  <c r="BZ61" i="10"/>
  <c r="CA62" i="10"/>
  <c r="CA50" i="10"/>
  <c r="BZ49" i="10"/>
  <c r="BX22" i="10"/>
  <c r="BX71" i="10" s="1"/>
  <c r="CA76" i="10"/>
  <c r="BZ75" i="10"/>
  <c r="BY20" i="10"/>
  <c r="BY19" i="10"/>
  <c r="BY16" i="10"/>
  <c r="BX34" i="10"/>
  <c r="BZ15" i="10"/>
  <c r="BZ39" i="10"/>
  <c r="BZ51" i="10"/>
  <c r="BZ77" i="10"/>
  <c r="BZ63" i="10"/>
  <c r="BZ27" i="10"/>
  <c r="CC26" i="10"/>
  <c r="CB25" i="10"/>
  <c r="CA14" i="10"/>
  <c r="BZ13" i="10"/>
  <c r="BZ20" i="10" s="1"/>
  <c r="CC84" i="10" l="1"/>
  <c r="BX58" i="10"/>
  <c r="BZ56" i="10"/>
  <c r="BZ68" i="10"/>
  <c r="BX72" i="10"/>
  <c r="BX70" i="10"/>
  <c r="BY54" i="10"/>
  <c r="BY66" i="10"/>
  <c r="BY56" i="10"/>
  <c r="BY68" i="10"/>
  <c r="BY53" i="10"/>
  <c r="BY65" i="10"/>
  <c r="BY52" i="10"/>
  <c r="BY64" i="10"/>
  <c r="BY55" i="10"/>
  <c r="BY67" i="10"/>
  <c r="BZ18" i="10"/>
  <c r="BZ16" i="10"/>
  <c r="BZ17" i="10"/>
  <c r="BZ19" i="10"/>
  <c r="BY22" i="10"/>
  <c r="BY71" i="10" s="1"/>
  <c r="CA15" i="10"/>
  <c r="CA39" i="10"/>
  <c r="CA51" i="10"/>
  <c r="CA77" i="10"/>
  <c r="CA63" i="10"/>
  <c r="CA27" i="10"/>
  <c r="CA61" i="10"/>
  <c r="CB62" i="10"/>
  <c r="BY34" i="10"/>
  <c r="BZ29" i="10"/>
  <c r="BZ30" i="10"/>
  <c r="BZ32" i="10"/>
  <c r="BZ31" i="10"/>
  <c r="BZ28" i="10"/>
  <c r="CA75" i="10"/>
  <c r="CB76" i="10"/>
  <c r="CA49" i="10"/>
  <c r="CB50" i="10"/>
  <c r="CC43" i="10"/>
  <c r="CD81" i="10" s="1"/>
  <c r="CC40" i="10"/>
  <c r="CD78" i="10" s="1"/>
  <c r="CC42" i="10"/>
  <c r="CD80" i="10" s="1"/>
  <c r="CC41" i="10"/>
  <c r="CD79" i="10" s="1"/>
  <c r="CC44" i="10"/>
  <c r="CD82" i="10" s="1"/>
  <c r="CD38" i="10"/>
  <c r="CC37" i="10"/>
  <c r="CC25" i="10"/>
  <c r="CD26" i="10"/>
  <c r="CB14" i="10"/>
  <c r="CA13" i="10"/>
  <c r="CA16" i="10" s="1"/>
  <c r="BY58" i="10" l="1"/>
  <c r="CD84" i="10"/>
  <c r="BZ22" i="10"/>
  <c r="BZ71" i="10" s="1"/>
  <c r="BY72" i="10"/>
  <c r="BY70" i="10"/>
  <c r="BZ55" i="10"/>
  <c r="BZ67" i="10"/>
  <c r="BZ53" i="10"/>
  <c r="BZ65" i="10"/>
  <c r="BZ54" i="10"/>
  <c r="BZ66" i="10"/>
  <c r="CA52" i="10"/>
  <c r="CA64" i="10"/>
  <c r="BZ52" i="10"/>
  <c r="BZ58" i="10" s="1"/>
  <c r="BZ64" i="10"/>
  <c r="BZ72" i="10" s="1"/>
  <c r="BZ70" i="10" s="1"/>
  <c r="BZ34" i="10"/>
  <c r="CD43" i="10"/>
  <c r="CE81" i="10" s="1"/>
  <c r="CD40" i="10"/>
  <c r="CE78" i="10" s="1"/>
  <c r="CD42" i="10"/>
  <c r="CE80" i="10" s="1"/>
  <c r="CD41" i="10"/>
  <c r="CE79" i="10" s="1"/>
  <c r="CD44" i="10"/>
  <c r="CE82" i="10" s="1"/>
  <c r="CE38" i="10"/>
  <c r="CD37" i="10"/>
  <c r="CC62" i="10"/>
  <c r="CB61" i="10"/>
  <c r="CA17" i="10"/>
  <c r="CA18" i="10"/>
  <c r="CB49" i="10"/>
  <c r="CC50" i="10"/>
  <c r="CA28" i="10"/>
  <c r="CA29" i="10"/>
  <c r="CA30" i="10"/>
  <c r="CA32" i="10"/>
  <c r="CA31" i="10"/>
  <c r="CA20" i="10"/>
  <c r="CA19" i="10"/>
  <c r="CB75" i="10"/>
  <c r="CC76" i="10"/>
  <c r="CB15" i="10"/>
  <c r="CB39" i="10"/>
  <c r="CB51" i="10"/>
  <c r="CB77" i="10"/>
  <c r="CB63" i="10"/>
  <c r="CB27" i="10"/>
  <c r="CE26" i="10"/>
  <c r="CD25" i="10"/>
  <c r="CC14" i="10"/>
  <c r="CB13" i="10"/>
  <c r="CB19" i="10" s="1"/>
  <c r="CE84" i="10" l="1"/>
  <c r="CA54" i="10"/>
  <c r="CA66" i="10"/>
  <c r="CB55" i="10"/>
  <c r="CB67" i="10"/>
  <c r="CA53" i="10"/>
  <c r="CA65" i="10"/>
  <c r="CA55" i="10"/>
  <c r="CA67" i="10"/>
  <c r="CA56" i="10"/>
  <c r="CA68" i="10"/>
  <c r="CA58" i="10"/>
  <c r="CB16" i="10"/>
  <c r="CA22" i="10"/>
  <c r="CA71" i="10" s="1"/>
  <c r="CD76" i="10"/>
  <c r="CC75" i="10"/>
  <c r="CD62" i="10"/>
  <c r="CC61" i="10"/>
  <c r="CC15" i="10"/>
  <c r="CC77" i="10"/>
  <c r="CC39" i="10"/>
  <c r="CC27" i="10"/>
  <c r="CC51" i="10"/>
  <c r="CC63" i="10"/>
  <c r="CB17" i="10"/>
  <c r="CA34" i="10"/>
  <c r="CB18" i="10"/>
  <c r="CE43" i="10"/>
  <c r="CF81" i="10" s="1"/>
  <c r="CE42" i="10"/>
  <c r="CF80" i="10" s="1"/>
  <c r="CE41" i="10"/>
  <c r="CF79" i="10" s="1"/>
  <c r="CE44" i="10"/>
  <c r="CF82" i="10" s="1"/>
  <c r="CE40" i="10"/>
  <c r="CF78" i="10" s="1"/>
  <c r="CE37" i="10"/>
  <c r="CF38" i="10"/>
  <c r="CD50" i="10"/>
  <c r="CC49" i="10"/>
  <c r="CB28" i="10"/>
  <c r="CB29" i="10"/>
  <c r="CB30" i="10"/>
  <c r="CB32" i="10"/>
  <c r="CB31" i="10"/>
  <c r="CB20" i="10"/>
  <c r="CE25" i="10"/>
  <c r="CF26" i="10"/>
  <c r="CD14" i="10"/>
  <c r="CC13" i="10"/>
  <c r="CC19" i="10" s="1"/>
  <c r="CF84" i="10" l="1"/>
  <c r="CA72" i="10"/>
  <c r="CA70" i="10"/>
  <c r="CB56" i="10"/>
  <c r="CB68" i="10"/>
  <c r="CB52" i="10"/>
  <c r="CB64" i="10"/>
  <c r="CC55" i="10"/>
  <c r="CC67" i="10"/>
  <c r="CB53" i="10"/>
  <c r="CB65" i="10"/>
  <c r="CB54" i="10"/>
  <c r="CB58" i="10" s="1"/>
  <c r="CB66" i="10"/>
  <c r="CB22" i="10"/>
  <c r="CB71" i="10" s="1"/>
  <c r="CB34" i="10"/>
  <c r="CF42" i="10"/>
  <c r="CG80" i="10" s="1"/>
  <c r="CF43" i="10"/>
  <c r="CG81" i="10" s="1"/>
  <c r="CF41" i="10"/>
  <c r="CG79" i="10" s="1"/>
  <c r="CF44" i="10"/>
  <c r="CG82" i="10" s="1"/>
  <c r="CF40" i="10"/>
  <c r="CG78" i="10" s="1"/>
  <c r="CG38" i="10"/>
  <c r="CF37" i="10"/>
  <c r="CC16" i="10"/>
  <c r="CC18" i="10"/>
  <c r="CD15" i="10"/>
  <c r="CD77" i="10"/>
  <c r="CD39" i="10"/>
  <c r="CD27" i="10"/>
  <c r="CD51" i="10"/>
  <c r="CD63" i="10"/>
  <c r="CC28" i="10"/>
  <c r="CC29" i="10"/>
  <c r="CC30" i="10"/>
  <c r="CC31" i="10"/>
  <c r="CC32" i="10"/>
  <c r="CD49" i="10"/>
  <c r="CE50" i="10"/>
  <c r="CC20" i="10"/>
  <c r="CC17" i="10"/>
  <c r="CE62" i="10"/>
  <c r="CD61" i="10"/>
  <c r="CD75" i="10"/>
  <c r="CE76" i="10"/>
  <c r="CG26" i="10"/>
  <c r="CF25" i="10"/>
  <c r="CE14" i="10"/>
  <c r="CD13" i="10"/>
  <c r="CD18" i="10" s="1"/>
  <c r="CG84" i="10" l="1"/>
  <c r="CB72" i="10"/>
  <c r="CB70" i="10"/>
  <c r="CC53" i="10"/>
  <c r="CC65" i="10"/>
  <c r="CC54" i="10"/>
  <c r="CC66" i="10"/>
  <c r="CC52" i="10"/>
  <c r="CC64" i="10"/>
  <c r="CC56" i="10"/>
  <c r="CC68" i="10"/>
  <c r="CD54" i="10"/>
  <c r="CD66" i="10"/>
  <c r="CC58" i="10"/>
  <c r="CE15" i="10"/>
  <c r="CE63" i="10"/>
  <c r="CE77" i="10"/>
  <c r="CE39" i="10"/>
  <c r="CE27" i="10"/>
  <c r="CE51" i="10"/>
  <c r="CE61" i="10"/>
  <c r="CF62" i="10"/>
  <c r="CG42" i="10"/>
  <c r="CH80" i="10" s="1"/>
  <c r="CG41" i="10"/>
  <c r="CH79" i="10" s="1"/>
  <c r="CG44" i="10"/>
  <c r="CH82" i="10" s="1"/>
  <c r="CG43" i="10"/>
  <c r="CH81" i="10" s="1"/>
  <c r="CG40" i="10"/>
  <c r="CH78" i="10" s="1"/>
  <c r="CH38" i="10"/>
  <c r="CG37" i="10"/>
  <c r="CD32" i="10"/>
  <c r="CD28" i="10"/>
  <c r="CD29" i="10"/>
  <c r="CD30" i="10"/>
  <c r="CD31" i="10"/>
  <c r="CD20" i="10"/>
  <c r="CD16" i="10"/>
  <c r="CD17" i="10"/>
  <c r="CD19" i="10"/>
  <c r="CF76" i="10"/>
  <c r="CE75" i="10"/>
  <c r="CE49" i="10"/>
  <c r="CF50" i="10"/>
  <c r="CC34" i="10"/>
  <c r="CH26" i="10"/>
  <c r="CG25" i="10"/>
  <c r="CF14" i="10"/>
  <c r="CE13" i="10"/>
  <c r="CC22" i="10"/>
  <c r="CC71" i="10" s="1"/>
  <c r="CH84" i="10" l="1"/>
  <c r="CD53" i="10"/>
  <c r="CD65" i="10"/>
  <c r="CD52" i="10"/>
  <c r="CD64" i="10"/>
  <c r="CD56" i="10"/>
  <c r="CD68" i="10"/>
  <c r="CC72" i="10"/>
  <c r="CC70" i="10" s="1"/>
  <c r="CD55" i="10"/>
  <c r="CD67" i="10"/>
  <c r="CF75" i="10"/>
  <c r="CG76" i="10"/>
  <c r="CD58" i="10"/>
  <c r="CD34" i="10"/>
  <c r="CH42" i="10"/>
  <c r="CI80" i="10" s="1"/>
  <c r="CH41" i="10"/>
  <c r="CI79" i="10" s="1"/>
  <c r="CH44" i="10"/>
  <c r="CI82" i="10" s="1"/>
  <c r="CH43" i="10"/>
  <c r="CI81" i="10" s="1"/>
  <c r="CH40" i="10"/>
  <c r="CI78" i="10" s="1"/>
  <c r="CH37" i="10"/>
  <c r="CI38" i="10"/>
  <c r="CE32" i="10"/>
  <c r="CE29" i="10"/>
  <c r="CE30" i="10"/>
  <c r="CE31" i="10"/>
  <c r="CE28" i="10"/>
  <c r="CF15" i="10"/>
  <c r="CF51" i="10"/>
  <c r="CF63" i="10"/>
  <c r="CF39" i="10"/>
  <c r="CF77" i="10"/>
  <c r="CF27" i="10"/>
  <c r="CF61" i="10"/>
  <c r="CG62" i="10"/>
  <c r="CE16" i="10"/>
  <c r="CE18" i="10"/>
  <c r="CE20" i="10"/>
  <c r="CG50" i="10"/>
  <c r="CF49" i="10"/>
  <c r="CE19" i="10"/>
  <c r="CE17" i="10"/>
  <c r="CI26" i="10"/>
  <c r="CH25" i="10"/>
  <c r="CG14" i="10"/>
  <c r="CF13" i="10"/>
  <c r="CF18" i="10" s="1"/>
  <c r="CD22" i="10"/>
  <c r="CD71" i="10" s="1"/>
  <c r="CI84" i="10" l="1"/>
  <c r="CE34" i="10"/>
  <c r="CF54" i="10"/>
  <c r="CF66" i="10"/>
  <c r="CE53" i="10"/>
  <c r="CE65" i="10"/>
  <c r="CE55" i="10"/>
  <c r="CE67" i="10"/>
  <c r="CE56" i="10"/>
  <c r="CE68" i="10"/>
  <c r="CD72" i="10"/>
  <c r="CD70" i="10" s="1"/>
  <c r="CE54" i="10"/>
  <c r="CE66" i="10"/>
  <c r="CE52" i="10"/>
  <c r="CE64" i="10"/>
  <c r="CF19" i="10"/>
  <c r="CF17" i="10"/>
  <c r="CF16" i="10"/>
  <c r="CF20" i="10"/>
  <c r="CI42" i="10"/>
  <c r="CJ80" i="10" s="1"/>
  <c r="CI41" i="10"/>
  <c r="CJ79" i="10" s="1"/>
  <c r="CI44" i="10"/>
  <c r="CJ82" i="10" s="1"/>
  <c r="CI43" i="10"/>
  <c r="CJ81" i="10" s="1"/>
  <c r="CI40" i="10"/>
  <c r="CJ78" i="10" s="1"/>
  <c r="CI37" i="10"/>
  <c r="CJ38" i="10"/>
  <c r="CE22" i="10"/>
  <c r="CE71" i="10" s="1"/>
  <c r="CG61" i="10"/>
  <c r="CH62" i="10"/>
  <c r="CH76" i="10"/>
  <c r="CG75" i="10"/>
  <c r="CG15" i="10"/>
  <c r="CG51" i="10"/>
  <c r="CG63" i="10"/>
  <c r="CG77" i="10"/>
  <c r="CG39" i="10"/>
  <c r="CG27" i="10"/>
  <c r="CF32" i="10"/>
  <c r="CF29" i="10"/>
  <c r="CF31" i="10"/>
  <c r="CF30" i="10"/>
  <c r="CF28" i="10"/>
  <c r="CH50" i="10"/>
  <c r="CG49" i="10"/>
  <c r="CJ26" i="10"/>
  <c r="CI25" i="10"/>
  <c r="CH14" i="10"/>
  <c r="CG13" i="10"/>
  <c r="CG16" i="10" s="1"/>
  <c r="CE72" i="10" l="1"/>
  <c r="CE58" i="10"/>
  <c r="CJ84" i="10"/>
  <c r="CF34" i="10"/>
  <c r="CG20" i="10"/>
  <c r="CF53" i="10"/>
  <c r="CF65" i="10"/>
  <c r="CF55" i="10"/>
  <c r="CF67" i="10"/>
  <c r="CG52" i="10"/>
  <c r="CG64" i="10"/>
  <c r="CF56" i="10"/>
  <c r="CF68" i="10"/>
  <c r="CE70" i="10"/>
  <c r="CG56" i="10"/>
  <c r="CG68" i="10"/>
  <c r="CF52" i="10"/>
  <c r="CF64" i="10"/>
  <c r="CF22" i="10"/>
  <c r="CF71" i="10" s="1"/>
  <c r="CJ44" i="10"/>
  <c r="CK82" i="10" s="1"/>
  <c r="CJ41" i="10"/>
  <c r="CK79" i="10" s="1"/>
  <c r="CJ43" i="10"/>
  <c r="CK81" i="10" s="1"/>
  <c r="CJ40" i="10"/>
  <c r="CK78" i="10" s="1"/>
  <c r="CJ42" i="10"/>
  <c r="CK80" i="10" s="1"/>
  <c r="CK38" i="10"/>
  <c r="CJ37" i="10"/>
  <c r="CI50" i="10"/>
  <c r="CH49" i="10"/>
  <c r="CG32" i="10"/>
  <c r="CG29" i="10"/>
  <c r="CG31" i="10"/>
  <c r="CG30" i="10"/>
  <c r="CG28" i="10"/>
  <c r="CG17" i="10"/>
  <c r="CG18" i="10"/>
  <c r="CI62" i="10"/>
  <c r="CH61" i="10"/>
  <c r="CG19" i="10"/>
  <c r="CH15" i="10"/>
  <c r="CH51" i="10"/>
  <c r="CH77" i="10"/>
  <c r="CH39" i="10"/>
  <c r="CH63" i="10"/>
  <c r="CH27" i="10"/>
  <c r="CI76" i="10"/>
  <c r="CH75" i="10"/>
  <c r="CJ25" i="10"/>
  <c r="CK26" i="10"/>
  <c r="CI14" i="10"/>
  <c r="CH13" i="10"/>
  <c r="CH16" i="10" s="1"/>
  <c r="CF58" i="10" l="1"/>
  <c r="CF72" i="10"/>
  <c r="CG34" i="10"/>
  <c r="CK84" i="10"/>
  <c r="CF70" i="10"/>
  <c r="CG54" i="10"/>
  <c r="CG66" i="10"/>
  <c r="CG53" i="10"/>
  <c r="CG65" i="10"/>
  <c r="CH52" i="10"/>
  <c r="CH64" i="10"/>
  <c r="CG55" i="10"/>
  <c r="CG58" i="10" s="1"/>
  <c r="CG67" i="10"/>
  <c r="CG72" i="10" s="1"/>
  <c r="CH18" i="10"/>
  <c r="CI75" i="10"/>
  <c r="CJ76" i="10"/>
  <c r="CI15" i="10"/>
  <c r="CI27" i="10"/>
  <c r="CI51" i="10"/>
  <c r="CI63" i="10"/>
  <c r="CI77" i="10"/>
  <c r="CI39" i="10"/>
  <c r="CH31" i="10"/>
  <c r="CH29" i="10"/>
  <c r="CH28" i="10"/>
  <c r="CH32" i="10"/>
  <c r="CH30" i="10"/>
  <c r="CJ62" i="10"/>
  <c r="CI61" i="10"/>
  <c r="CH20" i="10"/>
  <c r="CK41" i="10"/>
  <c r="CL79" i="10" s="1"/>
  <c r="CK44" i="10"/>
  <c r="CL82" i="10" s="1"/>
  <c r="CK43" i="10"/>
  <c r="CL81" i="10" s="1"/>
  <c r="CK40" i="10"/>
  <c r="CL78" i="10" s="1"/>
  <c r="CK42" i="10"/>
  <c r="CL80" i="10" s="1"/>
  <c r="CL38" i="10"/>
  <c r="CK37" i="10"/>
  <c r="CH19" i="10"/>
  <c r="CJ50" i="10"/>
  <c r="CI49" i="10"/>
  <c r="CH17" i="10"/>
  <c r="CL26" i="10"/>
  <c r="CK25" i="10"/>
  <c r="CJ14" i="10"/>
  <c r="CI13" i="10"/>
  <c r="CG22" i="10"/>
  <c r="CG71" i="10" s="1"/>
  <c r="CL84" i="10" l="1"/>
  <c r="CH54" i="10"/>
  <c r="CH66" i="10"/>
  <c r="CH56" i="10"/>
  <c r="CH68" i="10"/>
  <c r="CG70" i="10"/>
  <c r="CH53" i="10"/>
  <c r="CH65" i="10"/>
  <c r="CH55" i="10"/>
  <c r="CH67" i="10"/>
  <c r="CH72" i="10" s="1"/>
  <c r="CI31" i="10"/>
  <c r="CI29" i="10"/>
  <c r="CI28" i="10"/>
  <c r="CI32" i="10"/>
  <c r="CI30" i="10"/>
  <c r="CI16" i="10"/>
  <c r="CI18" i="10"/>
  <c r="CJ15" i="10"/>
  <c r="CJ27" i="10"/>
  <c r="CJ51" i="10"/>
  <c r="CJ63" i="10"/>
  <c r="CJ77" i="10"/>
  <c r="CJ39" i="10"/>
  <c r="CK50" i="10"/>
  <c r="CJ49" i="10"/>
  <c r="CH34" i="10"/>
  <c r="CI19" i="10"/>
  <c r="CK76" i="10"/>
  <c r="CJ75" i="10"/>
  <c r="CL44" i="10"/>
  <c r="CM82" i="10" s="1"/>
  <c r="CL41" i="10"/>
  <c r="CM79" i="10" s="1"/>
  <c r="CL43" i="10"/>
  <c r="CM81" i="10" s="1"/>
  <c r="CL40" i="10"/>
  <c r="CM78" i="10" s="1"/>
  <c r="CL42" i="10"/>
  <c r="CM80" i="10" s="1"/>
  <c r="CL37" i="10"/>
  <c r="CM38" i="10"/>
  <c r="CI17" i="10"/>
  <c r="CJ61" i="10"/>
  <c r="CK62" i="10"/>
  <c r="CI20" i="10"/>
  <c r="CL25" i="10"/>
  <c r="CM26" i="10"/>
  <c r="CH22" i="10"/>
  <c r="CH71" i="10" s="1"/>
  <c r="CK14" i="10"/>
  <c r="CJ13" i="10"/>
  <c r="CJ20" i="10" s="1"/>
  <c r="CM84" i="10" l="1"/>
  <c r="CI55" i="10"/>
  <c r="CI67" i="10"/>
  <c r="CJ56" i="10"/>
  <c r="CJ68" i="10"/>
  <c r="CH70" i="10"/>
  <c r="CH58" i="10"/>
  <c r="CI52" i="10"/>
  <c r="CI64" i="10"/>
  <c r="CI56" i="10"/>
  <c r="CI68" i="10"/>
  <c r="CI53" i="10"/>
  <c r="CI65" i="10"/>
  <c r="CI54" i="10"/>
  <c r="CI66" i="10"/>
  <c r="CJ16" i="10"/>
  <c r="CJ31" i="10"/>
  <c r="CJ30" i="10"/>
  <c r="CJ29" i="10"/>
  <c r="CJ28" i="10"/>
  <c r="CJ32" i="10"/>
  <c r="CM44" i="10"/>
  <c r="CN82" i="10" s="1"/>
  <c r="CM41" i="10"/>
  <c r="CN79" i="10" s="1"/>
  <c r="CM40" i="10"/>
  <c r="CN78" i="10" s="1"/>
  <c r="CM43" i="10"/>
  <c r="CN81" i="10" s="1"/>
  <c r="CM42" i="10"/>
  <c r="CN80" i="10" s="1"/>
  <c r="CN38" i="10"/>
  <c r="CM37" i="10"/>
  <c r="CK15" i="10"/>
  <c r="CK27" i="10"/>
  <c r="CK51" i="10"/>
  <c r="CK63" i="10"/>
  <c r="CK77" i="10"/>
  <c r="CK39" i="10"/>
  <c r="CJ17" i="10"/>
  <c r="CK49" i="10"/>
  <c r="CL50" i="10"/>
  <c r="CI34" i="10"/>
  <c r="CJ19" i="10"/>
  <c r="CK61" i="10"/>
  <c r="CL62" i="10"/>
  <c r="CL76" i="10"/>
  <c r="CK75" i="10"/>
  <c r="CJ18" i="10"/>
  <c r="CM25" i="10"/>
  <c r="CN26" i="10"/>
  <c r="CL14" i="10"/>
  <c r="CK13" i="10"/>
  <c r="CI22" i="10"/>
  <c r="CI71" i="10" s="1"/>
  <c r="CN84" i="10" l="1"/>
  <c r="CI58" i="10"/>
  <c r="CI72" i="10"/>
  <c r="CJ55" i="10"/>
  <c r="CJ67" i="10"/>
  <c r="CJ53" i="10"/>
  <c r="CJ65" i="10"/>
  <c r="CJ52" i="10"/>
  <c r="CJ64" i="10"/>
  <c r="CJ54" i="10"/>
  <c r="CJ66" i="10"/>
  <c r="CI70" i="10"/>
  <c r="CJ22" i="10"/>
  <c r="CJ71" i="10" s="1"/>
  <c r="CK31" i="10"/>
  <c r="CK30" i="10"/>
  <c r="CK29" i="10"/>
  <c r="CK28" i="10"/>
  <c r="CK32" i="10"/>
  <c r="CM62" i="10"/>
  <c r="CL61" i="10"/>
  <c r="CK16" i="10"/>
  <c r="CK20" i="10"/>
  <c r="CJ34" i="10"/>
  <c r="CL15" i="10"/>
  <c r="CL51" i="10"/>
  <c r="CL63" i="10"/>
  <c r="CL27" i="10"/>
  <c r="CL39" i="10"/>
  <c r="CL77" i="10"/>
  <c r="CK17" i="10"/>
  <c r="CK18" i="10"/>
  <c r="CM50" i="10"/>
  <c r="CL49" i="10"/>
  <c r="CK19" i="10"/>
  <c r="CL75" i="10"/>
  <c r="CM76" i="10"/>
  <c r="CN44" i="10"/>
  <c r="CO82" i="10" s="1"/>
  <c r="CN40" i="10"/>
  <c r="CO78" i="10" s="1"/>
  <c r="CN43" i="10"/>
  <c r="CO81" i="10" s="1"/>
  <c r="CN42" i="10"/>
  <c r="CO80" i="10" s="1"/>
  <c r="CN41" i="10"/>
  <c r="CO79" i="10" s="1"/>
  <c r="CN37" i="10"/>
  <c r="CO38" i="10"/>
  <c r="CO26" i="10"/>
  <c r="CN25" i="10"/>
  <c r="CM14" i="10"/>
  <c r="CL13" i="10"/>
  <c r="CL17" i="10" s="1"/>
  <c r="CJ58" i="10" l="1"/>
  <c r="CO84" i="10"/>
  <c r="CL53" i="10"/>
  <c r="CL65" i="10"/>
  <c r="CK56" i="10"/>
  <c r="CK68" i="10"/>
  <c r="CK52" i="10"/>
  <c r="CK64" i="10"/>
  <c r="CK53" i="10"/>
  <c r="CK65" i="10"/>
  <c r="CK55" i="10"/>
  <c r="CK67" i="10"/>
  <c r="CK54" i="10"/>
  <c r="CK66" i="10"/>
  <c r="CJ72" i="10"/>
  <c r="CJ70" i="10" s="1"/>
  <c r="CL16" i="10"/>
  <c r="CL20" i="10"/>
  <c r="CL19" i="10"/>
  <c r="CL18" i="10"/>
  <c r="CK22" i="10"/>
  <c r="CK71" i="10" s="1"/>
  <c r="CM15" i="10"/>
  <c r="CM51" i="10"/>
  <c r="CM63" i="10"/>
  <c r="CM27" i="10"/>
  <c r="CM77" i="10"/>
  <c r="CM39" i="10"/>
  <c r="CK34" i="10"/>
  <c r="CM49" i="10"/>
  <c r="CN50" i="10"/>
  <c r="CO44" i="10"/>
  <c r="CP82" i="10" s="1"/>
  <c r="CO40" i="10"/>
  <c r="CP78" i="10" s="1"/>
  <c r="CO43" i="10"/>
  <c r="CP81" i="10" s="1"/>
  <c r="CO42" i="10"/>
  <c r="CP80" i="10" s="1"/>
  <c r="CO41" i="10"/>
  <c r="CP79" i="10" s="1"/>
  <c r="CO37" i="10"/>
  <c r="CP38" i="10"/>
  <c r="CM75" i="10"/>
  <c r="CN76" i="10"/>
  <c r="CN62" i="10"/>
  <c r="CM61" i="10"/>
  <c r="CL29" i="10"/>
  <c r="CL30" i="10"/>
  <c r="CL28" i="10"/>
  <c r="CL31" i="10"/>
  <c r="CL32" i="10"/>
  <c r="CO25" i="10"/>
  <c r="CP26" i="10"/>
  <c r="CN14" i="10"/>
  <c r="CM13" i="10"/>
  <c r="CM19" i="10" s="1"/>
  <c r="CK58" i="10" l="1"/>
  <c r="CP84" i="10"/>
  <c r="CL22" i="10"/>
  <c r="CL71" i="10" s="1"/>
  <c r="CK72" i="10"/>
  <c r="CK70" i="10" s="1"/>
  <c r="CL56" i="10"/>
  <c r="CL68" i="10"/>
  <c r="CL54" i="10"/>
  <c r="CL66" i="10"/>
  <c r="CL52" i="10"/>
  <c r="CL64" i="10"/>
  <c r="CM55" i="10"/>
  <c r="CM67" i="10"/>
  <c r="CL55" i="10"/>
  <c r="CL67" i="10"/>
  <c r="CO50" i="10"/>
  <c r="CN49" i="10"/>
  <c r="CO76" i="10"/>
  <c r="CN75" i="10"/>
  <c r="CM17" i="10"/>
  <c r="CL34" i="10"/>
  <c r="CM29" i="10"/>
  <c r="CM30" i="10"/>
  <c r="CM28" i="10"/>
  <c r="CM31" i="10"/>
  <c r="CM32" i="10"/>
  <c r="CM20" i="10"/>
  <c r="CP44" i="10"/>
  <c r="CQ82" i="10" s="1"/>
  <c r="CP40" i="10"/>
  <c r="CQ78" i="10" s="1"/>
  <c r="CP43" i="10"/>
  <c r="CQ81" i="10" s="1"/>
  <c r="CP42" i="10"/>
  <c r="CQ80" i="10" s="1"/>
  <c r="CP41" i="10"/>
  <c r="CQ79" i="10" s="1"/>
  <c r="CQ38" i="10"/>
  <c r="CP37" i="10"/>
  <c r="CM18" i="10"/>
  <c r="CO62" i="10"/>
  <c r="CN61" i="10"/>
  <c r="CN15" i="10"/>
  <c r="CN51" i="10"/>
  <c r="CN39" i="10"/>
  <c r="CN63" i="10"/>
  <c r="CN77" i="10"/>
  <c r="CN27" i="10"/>
  <c r="CM16" i="10"/>
  <c r="CQ26" i="10"/>
  <c r="CP25" i="10"/>
  <c r="CO14" i="10"/>
  <c r="CN13" i="10"/>
  <c r="CN16" i="10" s="1"/>
  <c r="CM22" i="10" l="1"/>
  <c r="CM71" i="10" s="1"/>
  <c r="CQ84" i="10"/>
  <c r="CL58" i="10"/>
  <c r="CM52" i="10"/>
  <c r="CM64" i="10"/>
  <c r="CL72" i="10"/>
  <c r="CL70" i="10" s="1"/>
  <c r="CM53" i="10"/>
  <c r="CM65" i="10"/>
  <c r="CN52" i="10"/>
  <c r="CN64" i="10"/>
  <c r="CM56" i="10"/>
  <c r="CM68" i="10"/>
  <c r="CM54" i="10"/>
  <c r="CM58" i="10" s="1"/>
  <c r="CM66" i="10"/>
  <c r="CN20" i="10"/>
  <c r="CM34" i="10"/>
  <c r="CN29" i="10"/>
  <c r="CN30" i="10"/>
  <c r="CN28" i="10"/>
  <c r="CN31" i="10"/>
  <c r="CN32" i="10"/>
  <c r="CN18" i="10"/>
  <c r="CO75" i="10"/>
  <c r="CP76" i="10"/>
  <c r="CO15" i="10"/>
  <c r="CO39" i="10"/>
  <c r="CO51" i="10"/>
  <c r="CO63" i="10"/>
  <c r="CO27" i="10"/>
  <c r="CO77" i="10"/>
  <c r="CN19" i="10"/>
  <c r="CO61" i="10"/>
  <c r="CP62" i="10"/>
  <c r="CN17" i="10"/>
  <c r="CQ44" i="10"/>
  <c r="CR82" i="10" s="1"/>
  <c r="CQ40" i="10"/>
  <c r="CR78" i="10" s="1"/>
  <c r="CQ43" i="10"/>
  <c r="CR81" i="10" s="1"/>
  <c r="CQ42" i="10"/>
  <c r="CR80" i="10" s="1"/>
  <c r="CQ41" i="10"/>
  <c r="CR79" i="10" s="1"/>
  <c r="CR38" i="10"/>
  <c r="CQ37" i="10"/>
  <c r="CO49" i="10"/>
  <c r="CP50" i="10"/>
  <c r="CR26" i="10"/>
  <c r="CQ25" i="10"/>
  <c r="CP14" i="10"/>
  <c r="CO13" i="10"/>
  <c r="CO20" i="10" s="1"/>
  <c r="CR84" i="10" l="1"/>
  <c r="CN55" i="10"/>
  <c r="CN67" i="10"/>
  <c r="CM72" i="10"/>
  <c r="CM70" i="10" s="1"/>
  <c r="CN56" i="10"/>
  <c r="CN68" i="10"/>
  <c r="CO56" i="10"/>
  <c r="CO68" i="10"/>
  <c r="CN54" i="10"/>
  <c r="CN66" i="10"/>
  <c r="CN53" i="10"/>
  <c r="CN58" i="10" s="1"/>
  <c r="CN65" i="10"/>
  <c r="CQ76" i="10"/>
  <c r="CP75" i="10"/>
  <c r="CO16" i="10"/>
  <c r="CQ50" i="10"/>
  <c r="CP49" i="10"/>
  <c r="CQ62" i="10"/>
  <c r="CP61" i="10"/>
  <c r="CN34" i="10"/>
  <c r="CO29" i="10"/>
  <c r="CO30" i="10"/>
  <c r="CO32" i="10"/>
  <c r="CO28" i="10"/>
  <c r="CO31" i="10"/>
  <c r="CP15" i="10"/>
  <c r="CP39" i="10"/>
  <c r="CP51" i="10"/>
  <c r="CP63" i="10"/>
  <c r="CP27" i="10"/>
  <c r="CP77" i="10"/>
  <c r="CO19" i="10"/>
  <c r="CO17" i="10"/>
  <c r="CO18" i="10"/>
  <c r="CN22" i="10"/>
  <c r="CN71" i="10" s="1"/>
  <c r="CR43" i="10"/>
  <c r="CS81" i="10" s="1"/>
  <c r="CR40" i="10"/>
  <c r="CS78" i="10" s="1"/>
  <c r="CR44" i="10"/>
  <c r="CS82" i="10" s="1"/>
  <c r="CR42" i="10"/>
  <c r="CS80" i="10" s="1"/>
  <c r="CR41" i="10"/>
  <c r="CS79" i="10" s="1"/>
  <c r="CS38" i="10"/>
  <c r="CR37" i="10"/>
  <c r="CS26" i="10"/>
  <c r="CR25" i="10"/>
  <c r="CQ14" i="10"/>
  <c r="CP13" i="10"/>
  <c r="CP20" i="10" s="1"/>
  <c r="CN72" i="10" l="1"/>
  <c r="CS84" i="10"/>
  <c r="CP56" i="10"/>
  <c r="CP68" i="10"/>
  <c r="CO52" i="10"/>
  <c r="CO64" i="10"/>
  <c r="CN70" i="10"/>
  <c r="CO54" i="10"/>
  <c r="CO66" i="10"/>
  <c r="CO53" i="10"/>
  <c r="CO65" i="10"/>
  <c r="CO55" i="10"/>
  <c r="CO67" i="10"/>
  <c r="CO22" i="10"/>
  <c r="CO71" i="10" s="1"/>
  <c r="CO34" i="10"/>
  <c r="CP17" i="10"/>
  <c r="CP30" i="10"/>
  <c r="CP32" i="10"/>
  <c r="CP29" i="10"/>
  <c r="CP28" i="10"/>
  <c r="CP31" i="10"/>
  <c r="CQ15" i="10"/>
  <c r="CQ39" i="10"/>
  <c r="CQ51" i="10"/>
  <c r="CQ27" i="10"/>
  <c r="CQ63" i="10"/>
  <c r="CQ77" i="10"/>
  <c r="CQ49" i="10"/>
  <c r="CR50" i="10"/>
  <c r="CP16" i="10"/>
  <c r="CO58" i="10"/>
  <c r="CP19" i="10"/>
  <c r="CP18" i="10"/>
  <c r="CS43" i="10"/>
  <c r="CT81" i="10" s="1"/>
  <c r="CS40" i="10"/>
  <c r="CT78" i="10" s="1"/>
  <c r="CS44" i="10"/>
  <c r="CT82" i="10" s="1"/>
  <c r="CS42" i="10"/>
  <c r="CT80" i="10" s="1"/>
  <c r="CS41" i="10"/>
  <c r="CT79" i="10" s="1"/>
  <c r="CT38" i="10"/>
  <c r="CS37" i="10"/>
  <c r="CQ61" i="10"/>
  <c r="CR62" i="10"/>
  <c r="CR76" i="10"/>
  <c r="CQ75" i="10"/>
  <c r="CS25" i="10"/>
  <c r="CT26" i="10"/>
  <c r="CR14" i="10"/>
  <c r="CQ13" i="10"/>
  <c r="CQ18" i="10" s="1"/>
  <c r="CT84" i="10" l="1"/>
  <c r="CP53" i="10"/>
  <c r="CP65" i="10"/>
  <c r="CP52" i="10"/>
  <c r="CP64" i="10"/>
  <c r="CP54" i="10"/>
  <c r="CP66" i="10"/>
  <c r="CP55" i="10"/>
  <c r="CP58" i="10" s="1"/>
  <c r="CP67" i="10"/>
  <c r="CQ54" i="10"/>
  <c r="CQ66" i="10"/>
  <c r="CO72" i="10"/>
  <c r="CO70" i="10" s="1"/>
  <c r="CP22" i="10"/>
  <c r="CP71" i="10" s="1"/>
  <c r="CQ19" i="10"/>
  <c r="CT43" i="10"/>
  <c r="CU81" i="10" s="1"/>
  <c r="CT40" i="10"/>
  <c r="CU78" i="10" s="1"/>
  <c r="CT44" i="10"/>
  <c r="CU82" i="10" s="1"/>
  <c r="CT42" i="10"/>
  <c r="CU80" i="10" s="1"/>
  <c r="CT41" i="10"/>
  <c r="CU79" i="10" s="1"/>
  <c r="CT37" i="10"/>
  <c r="CU38" i="10"/>
  <c r="CQ17" i="10"/>
  <c r="CS50" i="10"/>
  <c r="CR49" i="10"/>
  <c r="CR15" i="10"/>
  <c r="CR39" i="10"/>
  <c r="CR51" i="10"/>
  <c r="CR63" i="10"/>
  <c r="CR27" i="10"/>
  <c r="CR77" i="10"/>
  <c r="CQ16" i="10"/>
  <c r="CP34" i="10"/>
  <c r="CR75" i="10"/>
  <c r="CS76" i="10"/>
  <c r="CQ28" i="10"/>
  <c r="CQ30" i="10"/>
  <c r="CQ32" i="10"/>
  <c r="CQ29" i="10"/>
  <c r="CQ31" i="10"/>
  <c r="CS62" i="10"/>
  <c r="CR61" i="10"/>
  <c r="CQ20" i="10"/>
  <c r="CT25" i="10"/>
  <c r="CU26" i="10"/>
  <c r="CS14" i="10"/>
  <c r="CR13" i="10"/>
  <c r="CR17" i="10" s="1"/>
  <c r="CU84" i="10" l="1"/>
  <c r="CR53" i="10"/>
  <c r="CR65" i="10"/>
  <c r="CQ56" i="10"/>
  <c r="CQ68" i="10"/>
  <c r="CQ52" i="10"/>
  <c r="CQ64" i="10"/>
  <c r="CQ55" i="10"/>
  <c r="CQ67" i="10"/>
  <c r="CQ53" i="10"/>
  <c r="CQ65" i="10"/>
  <c r="CP72" i="10"/>
  <c r="CP70" i="10" s="1"/>
  <c r="CQ22" i="10"/>
  <c r="CQ71" i="10" s="1"/>
  <c r="CS15" i="10"/>
  <c r="CS77" i="10"/>
  <c r="CS39" i="10"/>
  <c r="CS51" i="10"/>
  <c r="CS63" i="10"/>
  <c r="CS27" i="10"/>
  <c r="CR28" i="10"/>
  <c r="CR30" i="10"/>
  <c r="CR32" i="10"/>
  <c r="CR29" i="10"/>
  <c r="CR31" i="10"/>
  <c r="CR19" i="10"/>
  <c r="CS75" i="10"/>
  <c r="CT76" i="10"/>
  <c r="CT62" i="10"/>
  <c r="CS61" i="10"/>
  <c r="CQ34" i="10"/>
  <c r="CT50" i="10"/>
  <c r="CS49" i="10"/>
  <c r="CR16" i="10"/>
  <c r="CR20" i="10"/>
  <c r="CU43" i="10"/>
  <c r="CV81" i="10" s="1"/>
  <c r="CU40" i="10"/>
  <c r="CV78" i="10" s="1"/>
  <c r="CU44" i="10"/>
  <c r="CV82" i="10" s="1"/>
  <c r="CU42" i="10"/>
  <c r="CV80" i="10" s="1"/>
  <c r="CU41" i="10"/>
  <c r="CV79" i="10" s="1"/>
  <c r="CU37" i="10"/>
  <c r="CV38" i="10"/>
  <c r="CR18" i="10"/>
  <c r="CV26" i="10"/>
  <c r="CU25" i="10"/>
  <c r="CT14" i="10"/>
  <c r="CS13" i="10"/>
  <c r="CS17" i="10" s="1"/>
  <c r="CV84" i="10" l="1"/>
  <c r="CQ58" i="10"/>
  <c r="CS53" i="10"/>
  <c r="CS65" i="10"/>
  <c r="CR55" i="10"/>
  <c r="CR67" i="10"/>
  <c r="CR56" i="10"/>
  <c r="CR68" i="10"/>
  <c r="CR54" i="10"/>
  <c r="CR66" i="10"/>
  <c r="CQ72" i="10"/>
  <c r="CR52" i="10"/>
  <c r="CR64" i="10"/>
  <c r="CR72" i="10" s="1"/>
  <c r="CQ70" i="10"/>
  <c r="CR22" i="10"/>
  <c r="CR71" i="10" s="1"/>
  <c r="CS20" i="10"/>
  <c r="CR34" i="10"/>
  <c r="CT61" i="10"/>
  <c r="CU62" i="10"/>
  <c r="CS29" i="10"/>
  <c r="CS28" i="10"/>
  <c r="CS30" i="10"/>
  <c r="CS32" i="10"/>
  <c r="CS31" i="10"/>
  <c r="CS19" i="10"/>
  <c r="CT75" i="10"/>
  <c r="CU76" i="10"/>
  <c r="CS16" i="10"/>
  <c r="CS18" i="10"/>
  <c r="CV42" i="10"/>
  <c r="CW80" i="10" s="1"/>
  <c r="CV43" i="10"/>
  <c r="CW81" i="10" s="1"/>
  <c r="CV44" i="10"/>
  <c r="CW82" i="10" s="1"/>
  <c r="CV41" i="10"/>
  <c r="CW79" i="10" s="1"/>
  <c r="CV40" i="10"/>
  <c r="CW78" i="10" s="1"/>
  <c r="CW38" i="10"/>
  <c r="CV37" i="10"/>
  <c r="CU50" i="10"/>
  <c r="CT49" i="10"/>
  <c r="CT15" i="10"/>
  <c r="CT77" i="10"/>
  <c r="CT39" i="10"/>
  <c r="CT51" i="10"/>
  <c r="CT63" i="10"/>
  <c r="CT27" i="10"/>
  <c r="CW26" i="10"/>
  <c r="CV25" i="10"/>
  <c r="CU14" i="10"/>
  <c r="CT13" i="10"/>
  <c r="CT17" i="10" s="1"/>
  <c r="CR70" i="10" l="1"/>
  <c r="CW84" i="10"/>
  <c r="CR58" i="10"/>
  <c r="CT53" i="10"/>
  <c r="CT65" i="10"/>
  <c r="CS52" i="10"/>
  <c r="CS64" i="10"/>
  <c r="CS56" i="10"/>
  <c r="CS68" i="10"/>
  <c r="CS55" i="10"/>
  <c r="CS67" i="10"/>
  <c r="CS54" i="10"/>
  <c r="CS58" i="10" s="1"/>
  <c r="CS66" i="10"/>
  <c r="CS22" i="10"/>
  <c r="CS71" i="10" s="1"/>
  <c r="CT18" i="10"/>
  <c r="CU61" i="10"/>
  <c r="CV62" i="10"/>
  <c r="CT32" i="10"/>
  <c r="CT29" i="10"/>
  <c r="CT28" i="10"/>
  <c r="CT30" i="10"/>
  <c r="CT31" i="10"/>
  <c r="CW43" i="10"/>
  <c r="CX81" i="10" s="1"/>
  <c r="CW42" i="10"/>
  <c r="CX80" i="10" s="1"/>
  <c r="CW41" i="10"/>
  <c r="CX79" i="10" s="1"/>
  <c r="CW40" i="10"/>
  <c r="CX78" i="10" s="1"/>
  <c r="CW44" i="10"/>
  <c r="CX82" i="10" s="1"/>
  <c r="CX38" i="10"/>
  <c r="CW37" i="10"/>
  <c r="CT16" i="10"/>
  <c r="CV50" i="10"/>
  <c r="CU49" i="10"/>
  <c r="CU75" i="10"/>
  <c r="CV76" i="10"/>
  <c r="CU15" i="10"/>
  <c r="CU63" i="10"/>
  <c r="CU39" i="10"/>
  <c r="CU77" i="10"/>
  <c r="CU51" i="10"/>
  <c r="CU27" i="10"/>
  <c r="CT20" i="10"/>
  <c r="CT19" i="10"/>
  <c r="CS34" i="10"/>
  <c r="CX26" i="10"/>
  <c r="CW25" i="10"/>
  <c r="CV14" i="10"/>
  <c r="CU13" i="10"/>
  <c r="CX84" i="10" l="1"/>
  <c r="CT52" i="10"/>
  <c r="CT64" i="10"/>
  <c r="CS72" i="10"/>
  <c r="CS70" i="10" s="1"/>
  <c r="CT54" i="10"/>
  <c r="CT66" i="10"/>
  <c r="CT56" i="10"/>
  <c r="CT68" i="10"/>
  <c r="CT55" i="10"/>
  <c r="CT67" i="10"/>
  <c r="CT58" i="10"/>
  <c r="CT22" i="10"/>
  <c r="CT71" i="10" s="1"/>
  <c r="CU32" i="10"/>
  <c r="CU29" i="10"/>
  <c r="CU30" i="10"/>
  <c r="CU28" i="10"/>
  <c r="CU31" i="10"/>
  <c r="CV75" i="10"/>
  <c r="CW76" i="10"/>
  <c r="CW62" i="10"/>
  <c r="CV61" i="10"/>
  <c r="CU16" i="10"/>
  <c r="CT34" i="10"/>
  <c r="CU20" i="10"/>
  <c r="CV15" i="10"/>
  <c r="CV63" i="10"/>
  <c r="CV39" i="10"/>
  <c r="CV77" i="10"/>
  <c r="CV27" i="10"/>
  <c r="CV51" i="10"/>
  <c r="CW50" i="10"/>
  <c r="CV49" i="10"/>
  <c r="CX43" i="10"/>
  <c r="CY81" i="10" s="1"/>
  <c r="CX42" i="10"/>
  <c r="CY80" i="10" s="1"/>
  <c r="CX41" i="10"/>
  <c r="CY79" i="10" s="1"/>
  <c r="CX40" i="10"/>
  <c r="CY78" i="10" s="1"/>
  <c r="CX44" i="10"/>
  <c r="CY82" i="10" s="1"/>
  <c r="CX37" i="10"/>
  <c r="CY38" i="10"/>
  <c r="CU19" i="10"/>
  <c r="CU17" i="10"/>
  <c r="CU18" i="10"/>
  <c r="CY26" i="10"/>
  <c r="CX25" i="10"/>
  <c r="CW14" i="10"/>
  <c r="CV13" i="10"/>
  <c r="CV17" i="10" s="1"/>
  <c r="CY84" i="10" l="1"/>
  <c r="CV53" i="10"/>
  <c r="CV65" i="10"/>
  <c r="CU55" i="10"/>
  <c r="CU67" i="10"/>
  <c r="CU53" i="10"/>
  <c r="CU65" i="10"/>
  <c r="CU56" i="10"/>
  <c r="CU68" i="10"/>
  <c r="CV20" i="10"/>
  <c r="CU52" i="10"/>
  <c r="CU64" i="10"/>
  <c r="CT72" i="10"/>
  <c r="CT70" i="10" s="1"/>
  <c r="CU54" i="10"/>
  <c r="CU66" i="10"/>
  <c r="CV16" i="10"/>
  <c r="CV22" i="10" s="1"/>
  <c r="CV71" i="10" s="1"/>
  <c r="CW15" i="10"/>
  <c r="CW63" i="10"/>
  <c r="CW77" i="10"/>
  <c r="CW39" i="10"/>
  <c r="CW27" i="10"/>
  <c r="CW51" i="10"/>
  <c r="CX62" i="10"/>
  <c r="CW61" i="10"/>
  <c r="CU34" i="10"/>
  <c r="CV19" i="10"/>
  <c r="CY42" i="10"/>
  <c r="CZ80" i="10" s="1"/>
  <c r="CY43" i="10"/>
  <c r="CZ81" i="10" s="1"/>
  <c r="CY41" i="10"/>
  <c r="CZ79" i="10" s="1"/>
  <c r="CY44" i="10"/>
  <c r="CZ82" i="10" s="1"/>
  <c r="CY40" i="10"/>
  <c r="CZ78" i="10" s="1"/>
  <c r="CY37" i="10"/>
  <c r="CZ38" i="10"/>
  <c r="CX50" i="10"/>
  <c r="CW49" i="10"/>
  <c r="CV32" i="10"/>
  <c r="CV29" i="10"/>
  <c r="CV30" i="10"/>
  <c r="CV31" i="10"/>
  <c r="CV28" i="10"/>
  <c r="CW75" i="10"/>
  <c r="CX76" i="10"/>
  <c r="CV18" i="10"/>
  <c r="CZ26" i="10"/>
  <c r="CY25" i="10"/>
  <c r="CX14" i="10"/>
  <c r="CW13" i="10"/>
  <c r="CW18" i="10" s="1"/>
  <c r="CU22" i="10"/>
  <c r="CU71" i="10" s="1"/>
  <c r="CV34" i="10" l="1"/>
  <c r="CZ84" i="10"/>
  <c r="CU58" i="10"/>
  <c r="CV52" i="10"/>
  <c r="CV64" i="10"/>
  <c r="CU72" i="10"/>
  <c r="CV55" i="10"/>
  <c r="CV67" i="10"/>
  <c r="CV54" i="10"/>
  <c r="CV66" i="10"/>
  <c r="CV56" i="10"/>
  <c r="CV68" i="10"/>
  <c r="CU70" i="10"/>
  <c r="CW54" i="10"/>
  <c r="CW66" i="10"/>
  <c r="CV58" i="10"/>
  <c r="CW20" i="10"/>
  <c r="CW17" i="10"/>
  <c r="CW32" i="10"/>
  <c r="CW29" i="10"/>
  <c r="CW31" i="10"/>
  <c r="CW30" i="10"/>
  <c r="CW28" i="10"/>
  <c r="CW16" i="10"/>
  <c r="CW19" i="10"/>
  <c r="CY62" i="10"/>
  <c r="CX61" i="10"/>
  <c r="CY50" i="10"/>
  <c r="CX49" i="10"/>
  <c r="CY76" i="10"/>
  <c r="CX75" i="10"/>
  <c r="CZ42" i="10"/>
  <c r="DA80" i="10" s="1"/>
  <c r="CZ43" i="10"/>
  <c r="DA81" i="10" s="1"/>
  <c r="CZ41" i="10"/>
  <c r="DA79" i="10" s="1"/>
  <c r="CZ44" i="10"/>
  <c r="DA82" i="10" s="1"/>
  <c r="CZ40" i="10"/>
  <c r="DA78" i="10" s="1"/>
  <c r="DA38" i="10"/>
  <c r="CZ37" i="10"/>
  <c r="CX15" i="10"/>
  <c r="CX77" i="10"/>
  <c r="CX39" i="10"/>
  <c r="CX51" i="10"/>
  <c r="CX27" i="10"/>
  <c r="CX63" i="10"/>
  <c r="DA26" i="10"/>
  <c r="CZ25" i="10"/>
  <c r="CY14" i="10"/>
  <c r="CX13" i="10"/>
  <c r="CX19" i="10" s="1"/>
  <c r="CW34" i="10" l="1"/>
  <c r="DA84" i="10"/>
  <c r="CW52" i="10"/>
  <c r="CW64" i="10"/>
  <c r="CX55" i="10"/>
  <c r="CX67" i="10"/>
  <c r="CX17" i="10"/>
  <c r="CW55" i="10"/>
  <c r="CW67" i="10"/>
  <c r="CW53" i="10"/>
  <c r="CW65" i="10"/>
  <c r="CW56" i="10"/>
  <c r="CW68" i="10"/>
  <c r="CX18" i="10"/>
  <c r="CV72" i="10"/>
  <c r="CV70" i="10" s="1"/>
  <c r="CW22" i="10"/>
  <c r="CW71" i="10" s="1"/>
  <c r="CZ62" i="10"/>
  <c r="CY61" i="10"/>
  <c r="CZ50" i="10"/>
  <c r="CY49" i="10"/>
  <c r="CY75" i="10"/>
  <c r="CZ76" i="10"/>
  <c r="CX31" i="10"/>
  <c r="CX29" i="10"/>
  <c r="CX30" i="10"/>
  <c r="CX32" i="10"/>
  <c r="CX28" i="10"/>
  <c r="DA41" i="10"/>
  <c r="DB79" i="10" s="1"/>
  <c r="DA42" i="10"/>
  <c r="DB80" i="10" s="1"/>
  <c r="DA43" i="10"/>
  <c r="DB81" i="10" s="1"/>
  <c r="DA44" i="10"/>
  <c r="DB82" i="10" s="1"/>
  <c r="DA40" i="10"/>
  <c r="DB78" i="10" s="1"/>
  <c r="DB38" i="10"/>
  <c r="DA37" i="10"/>
  <c r="CX16" i="10"/>
  <c r="CY15" i="10"/>
  <c r="CY51" i="10"/>
  <c r="CY27" i="10"/>
  <c r="CY63" i="10"/>
  <c r="CY77" i="10"/>
  <c r="CY39" i="10"/>
  <c r="CX20" i="10"/>
  <c r="DB26" i="10"/>
  <c r="DA25" i="10"/>
  <c r="CZ14" i="10"/>
  <c r="CY13" i="10"/>
  <c r="CY17" i="10" s="1"/>
  <c r="CW58" i="10" l="1"/>
  <c r="CX34" i="10"/>
  <c r="DB84" i="10"/>
  <c r="CY18" i="10"/>
  <c r="CY16" i="10"/>
  <c r="CX54" i="10"/>
  <c r="CX66" i="10"/>
  <c r="CY20" i="10"/>
  <c r="CX52" i="10"/>
  <c r="CX64" i="10"/>
  <c r="CY53" i="10"/>
  <c r="CY65" i="10"/>
  <c r="CX56" i="10"/>
  <c r="CX68" i="10"/>
  <c r="CX53" i="10"/>
  <c r="CX58" i="10" s="1"/>
  <c r="CX65" i="10"/>
  <c r="CW72" i="10"/>
  <c r="CW70" i="10" s="1"/>
  <c r="CZ15" i="10"/>
  <c r="CZ51" i="10"/>
  <c r="CZ27" i="10"/>
  <c r="CZ63" i="10"/>
  <c r="CZ77" i="10"/>
  <c r="CZ39" i="10"/>
  <c r="CX22" i="10"/>
  <c r="CX71" i="10" s="1"/>
  <c r="DA50" i="10"/>
  <c r="CZ49" i="10"/>
  <c r="CY31" i="10"/>
  <c r="CY29" i="10"/>
  <c r="CY30" i="10"/>
  <c r="CY32" i="10"/>
  <c r="CY28" i="10"/>
  <c r="CY19" i="10"/>
  <c r="DB42" i="10"/>
  <c r="DC80" i="10" s="1"/>
  <c r="DB43" i="10"/>
  <c r="DC81" i="10" s="1"/>
  <c r="DB41" i="10"/>
  <c r="DC79" i="10" s="1"/>
  <c r="DB44" i="10"/>
  <c r="DC82" i="10" s="1"/>
  <c r="DB40" i="10"/>
  <c r="DC78" i="10" s="1"/>
  <c r="DC38" i="10"/>
  <c r="DB37" i="10"/>
  <c r="DA76" i="10"/>
  <c r="CZ75" i="10"/>
  <c r="DA62" i="10"/>
  <c r="CZ61" i="10"/>
  <c r="DB25" i="10"/>
  <c r="DC26" i="10"/>
  <c r="DA14" i="10"/>
  <c r="CZ13" i="10"/>
  <c r="CZ16" i="10" s="1"/>
  <c r="CY34" i="10" l="1"/>
  <c r="DC84" i="10"/>
  <c r="CY55" i="10"/>
  <c r="CY67" i="10"/>
  <c r="CY56" i="10"/>
  <c r="CY68" i="10"/>
  <c r="CZ52" i="10"/>
  <c r="CZ64" i="10"/>
  <c r="CX72" i="10"/>
  <c r="CX70" i="10" s="1"/>
  <c r="CY52" i="10"/>
  <c r="CY64" i="10"/>
  <c r="CY54" i="10"/>
  <c r="CY66" i="10"/>
  <c r="DC43" i="10"/>
  <c r="DD81" i="10" s="1"/>
  <c r="DC41" i="10"/>
  <c r="DD79" i="10" s="1"/>
  <c r="DC44" i="10"/>
  <c r="DD82" i="10" s="1"/>
  <c r="DC42" i="10"/>
  <c r="DD80" i="10" s="1"/>
  <c r="DC40" i="10"/>
  <c r="DD78" i="10" s="1"/>
  <c r="DD38" i="10"/>
  <c r="DC37" i="10"/>
  <c r="CZ31" i="10"/>
  <c r="CZ29" i="10"/>
  <c r="CZ30" i="10"/>
  <c r="CZ32" i="10"/>
  <c r="CZ28" i="10"/>
  <c r="CZ20" i="10"/>
  <c r="DB76" i="10"/>
  <c r="DA75" i="10"/>
  <c r="CZ18" i="10"/>
  <c r="CZ17" i="10"/>
  <c r="DA61" i="10"/>
  <c r="DB62" i="10"/>
  <c r="DA49" i="10"/>
  <c r="DB50" i="10"/>
  <c r="CZ19" i="10"/>
  <c r="DA15" i="10"/>
  <c r="DA51" i="10"/>
  <c r="DA27" i="10"/>
  <c r="DA63" i="10"/>
  <c r="DA77" i="10"/>
  <c r="DA39" i="10"/>
  <c r="DC25" i="10"/>
  <c r="DD26" i="10"/>
  <c r="DB14" i="10"/>
  <c r="DA13" i="10"/>
  <c r="CY22" i="10"/>
  <c r="CY71" i="10" s="1"/>
  <c r="CZ34" i="10" l="1"/>
  <c r="DD84" i="10"/>
  <c r="CZ54" i="10"/>
  <c r="CZ66" i="10"/>
  <c r="CY58" i="10"/>
  <c r="CY72" i="10"/>
  <c r="CY70" i="10" s="1"/>
  <c r="CZ53" i="10"/>
  <c r="CZ65" i="10"/>
  <c r="CZ56" i="10"/>
  <c r="CZ68" i="10"/>
  <c r="CZ55" i="10"/>
  <c r="CZ67" i="10"/>
  <c r="CZ22" i="10"/>
  <c r="CZ71" i="10" s="1"/>
  <c r="CZ58" i="10"/>
  <c r="DA31" i="10"/>
  <c r="DA29" i="10"/>
  <c r="DA30" i="10"/>
  <c r="DA32" i="10"/>
  <c r="DA28" i="10"/>
  <c r="DA16" i="10"/>
  <c r="DB61" i="10"/>
  <c r="DC62" i="10"/>
  <c r="DC76" i="10"/>
  <c r="DB75" i="10"/>
  <c r="DB15" i="10"/>
  <c r="DB51" i="10"/>
  <c r="DB63" i="10"/>
  <c r="DB39" i="10"/>
  <c r="DB77" i="10"/>
  <c r="DB27" i="10"/>
  <c r="DA20" i="10"/>
  <c r="DA17" i="10"/>
  <c r="DD44" i="10"/>
  <c r="DE82" i="10" s="1"/>
  <c r="DD40" i="10"/>
  <c r="DE78" i="10" s="1"/>
  <c r="DD41" i="10"/>
  <c r="DE79" i="10" s="1"/>
  <c r="DD43" i="10"/>
  <c r="DE81" i="10" s="1"/>
  <c r="DD42" i="10"/>
  <c r="DE80" i="10" s="1"/>
  <c r="DD37" i="10"/>
  <c r="DE38" i="10"/>
  <c r="DA19" i="10"/>
  <c r="DA18" i="10"/>
  <c r="DB49" i="10"/>
  <c r="DC50" i="10"/>
  <c r="DD25" i="10"/>
  <c r="DE26" i="10"/>
  <c r="DC14" i="10"/>
  <c r="DB13" i="10"/>
  <c r="DE84" i="10" l="1"/>
  <c r="CZ72" i="10"/>
  <c r="DA53" i="10"/>
  <c r="DA65" i="10"/>
  <c r="DA34" i="10"/>
  <c r="DA56" i="10"/>
  <c r="DA68" i="10"/>
  <c r="CZ70" i="10"/>
  <c r="DA54" i="10"/>
  <c r="DA66" i="10"/>
  <c r="DA55" i="10"/>
  <c r="DA67" i="10"/>
  <c r="DA52" i="10"/>
  <c r="DA64" i="10"/>
  <c r="DB29" i="10"/>
  <c r="DB30" i="10"/>
  <c r="DB28" i="10"/>
  <c r="DB31" i="10"/>
  <c r="DB32" i="10"/>
  <c r="DB19" i="10"/>
  <c r="DB17" i="10"/>
  <c r="DC75" i="10"/>
  <c r="DD76" i="10"/>
  <c r="DB18" i="10"/>
  <c r="DB20" i="10"/>
  <c r="DB16" i="10"/>
  <c r="DB64" i="10" s="1"/>
  <c r="DC61" i="10"/>
  <c r="DD62" i="10"/>
  <c r="DD50" i="10"/>
  <c r="DC49" i="10"/>
  <c r="DA22" i="10"/>
  <c r="DA71" i="10" s="1"/>
  <c r="DC15" i="10"/>
  <c r="DC51" i="10"/>
  <c r="DC63" i="10"/>
  <c r="DC77" i="10"/>
  <c r="DC27" i="10"/>
  <c r="DC39" i="10"/>
  <c r="DE44" i="10"/>
  <c r="DF82" i="10" s="1"/>
  <c r="DE40" i="10"/>
  <c r="DF78" i="10" s="1"/>
  <c r="DE42" i="10"/>
  <c r="DF80" i="10" s="1"/>
  <c r="DE41" i="10"/>
  <c r="DF79" i="10" s="1"/>
  <c r="DE43" i="10"/>
  <c r="DF81" i="10" s="1"/>
  <c r="DE37" i="10"/>
  <c r="DF38" i="10"/>
  <c r="DF26" i="10"/>
  <c r="DE25" i="10"/>
  <c r="DD14" i="10"/>
  <c r="DC13" i="10"/>
  <c r="DC17" i="10" s="1"/>
  <c r="DA58" i="10" l="1"/>
  <c r="DA72" i="10"/>
  <c r="DF84" i="10"/>
  <c r="DA70" i="10"/>
  <c r="DB53" i="10"/>
  <c r="DB65" i="10"/>
  <c r="DB54" i="10"/>
  <c r="DB66" i="10"/>
  <c r="DB55" i="10"/>
  <c r="DB67" i="10"/>
  <c r="DC53" i="10"/>
  <c r="DC65" i="10"/>
  <c r="DB56" i="10"/>
  <c r="DB68" i="10"/>
  <c r="DC19" i="10"/>
  <c r="DC20" i="10"/>
  <c r="DD61" i="10"/>
  <c r="DE62" i="10"/>
  <c r="DB34" i="10"/>
  <c r="DC29" i="10"/>
  <c r="DC30" i="10"/>
  <c r="DC28" i="10"/>
  <c r="DC31" i="10"/>
  <c r="DC32" i="10"/>
  <c r="DD75" i="10"/>
  <c r="DE76" i="10"/>
  <c r="DD15" i="10"/>
  <c r="DD51" i="10"/>
  <c r="DD63" i="10"/>
  <c r="DD77" i="10"/>
  <c r="DD27" i="10"/>
  <c r="DD39" i="10"/>
  <c r="DC16" i="10"/>
  <c r="DF44" i="10"/>
  <c r="DG82" i="10" s="1"/>
  <c r="DF40" i="10"/>
  <c r="DG78" i="10" s="1"/>
  <c r="DF43" i="10"/>
  <c r="DG81" i="10" s="1"/>
  <c r="DF41" i="10"/>
  <c r="DG79" i="10" s="1"/>
  <c r="DF42" i="10"/>
  <c r="DG80" i="10" s="1"/>
  <c r="DG38" i="10"/>
  <c r="DF37" i="10"/>
  <c r="DC18" i="10"/>
  <c r="DE50" i="10"/>
  <c r="DD49" i="10"/>
  <c r="DB52" i="10"/>
  <c r="DB22" i="10"/>
  <c r="DB71" i="10" s="1"/>
  <c r="DF25" i="10"/>
  <c r="DG26" i="10"/>
  <c r="DE14" i="10"/>
  <c r="DD13" i="10"/>
  <c r="DD18" i="10" s="1"/>
  <c r="DG84" i="10" l="1"/>
  <c r="DB58" i="10"/>
  <c r="DB72" i="10"/>
  <c r="DD54" i="10"/>
  <c r="DD66" i="10"/>
  <c r="DC55" i="10"/>
  <c r="DC67" i="10"/>
  <c r="DC56" i="10"/>
  <c r="DC68" i="10"/>
  <c r="DC54" i="10"/>
  <c r="DC66" i="10"/>
  <c r="DC52" i="10"/>
  <c r="DC64" i="10"/>
  <c r="DB70" i="10"/>
  <c r="DD20" i="10"/>
  <c r="DD19" i="10"/>
  <c r="DC22" i="10"/>
  <c r="DC71" i="10" s="1"/>
  <c r="DF62" i="10"/>
  <c r="DE61" i="10"/>
  <c r="DD17" i="10"/>
  <c r="DC34" i="10"/>
  <c r="DE15" i="10"/>
  <c r="DE39" i="10"/>
  <c r="DE51" i="10"/>
  <c r="DE27" i="10"/>
  <c r="DE77" i="10"/>
  <c r="DE63" i="10"/>
  <c r="DG44" i="10"/>
  <c r="DH82" i="10" s="1"/>
  <c r="DG43" i="10"/>
  <c r="DH81" i="10" s="1"/>
  <c r="DG40" i="10"/>
  <c r="DH78" i="10" s="1"/>
  <c r="DG41" i="10"/>
  <c r="DH79" i="10" s="1"/>
  <c r="DG42" i="10"/>
  <c r="DH80" i="10" s="1"/>
  <c r="DH38" i="10"/>
  <c r="DG37" i="10"/>
  <c r="DD29" i="10"/>
  <c r="DD30" i="10"/>
  <c r="DD28" i="10"/>
  <c r="DD31" i="10"/>
  <c r="DD32" i="10"/>
  <c r="DF50" i="10"/>
  <c r="DE49" i="10"/>
  <c r="DE75" i="10"/>
  <c r="DF76" i="10"/>
  <c r="DD16" i="10"/>
  <c r="DG25" i="10"/>
  <c r="DH26" i="10"/>
  <c r="DF14" i="10"/>
  <c r="DE13" i="10"/>
  <c r="DE19" i="10" s="1"/>
  <c r="DC72" i="10" l="1"/>
  <c r="DC58" i="10"/>
  <c r="DH84" i="10"/>
  <c r="DC70" i="10"/>
  <c r="DD55" i="10"/>
  <c r="DD67" i="10"/>
  <c r="DD52" i="10"/>
  <c r="DD64" i="10"/>
  <c r="DD56" i="10"/>
  <c r="DD68" i="10"/>
  <c r="DE55" i="10"/>
  <c r="DE67" i="10"/>
  <c r="DD53" i="10"/>
  <c r="DD58" i="10" s="1"/>
  <c r="DD65" i="10"/>
  <c r="DD22" i="10"/>
  <c r="DD71" i="10" s="1"/>
  <c r="DF49" i="10"/>
  <c r="DG50" i="10"/>
  <c r="DE30" i="10"/>
  <c r="DE29" i="10"/>
  <c r="DE28" i="10"/>
  <c r="DE31" i="10"/>
  <c r="DE32" i="10"/>
  <c r="DD34" i="10"/>
  <c r="DE17" i="10"/>
  <c r="DF15" i="10"/>
  <c r="DF39" i="10"/>
  <c r="DF51" i="10"/>
  <c r="DF27" i="10"/>
  <c r="DF77" i="10"/>
  <c r="DF63" i="10"/>
  <c r="DE18" i="10"/>
  <c r="DF61" i="10"/>
  <c r="DG62" i="10"/>
  <c r="DE16" i="10"/>
  <c r="DH43" i="10"/>
  <c r="DI81" i="10" s="1"/>
  <c r="DH44" i="10"/>
  <c r="DI82" i="10" s="1"/>
  <c r="DH40" i="10"/>
  <c r="DI78" i="10" s="1"/>
  <c r="DH41" i="10"/>
  <c r="DI79" i="10" s="1"/>
  <c r="DH42" i="10"/>
  <c r="DI80" i="10" s="1"/>
  <c r="DH37" i="10"/>
  <c r="DI38" i="10"/>
  <c r="DG76" i="10"/>
  <c r="DF75" i="10"/>
  <c r="DE20" i="10"/>
  <c r="DI26" i="10"/>
  <c r="DH25" i="10"/>
  <c r="DG14" i="10"/>
  <c r="DF13" i="10"/>
  <c r="DF16" i="10" s="1"/>
  <c r="DI84" i="10" l="1"/>
  <c r="DD72" i="10"/>
  <c r="DF52" i="10"/>
  <c r="DF64" i="10"/>
  <c r="DE52" i="10"/>
  <c r="DE64" i="10"/>
  <c r="DD70" i="10"/>
  <c r="DE54" i="10"/>
  <c r="DE66" i="10"/>
  <c r="DE56" i="10"/>
  <c r="DE68" i="10"/>
  <c r="DE53" i="10"/>
  <c r="DE58" i="10" s="1"/>
  <c r="DE65" i="10"/>
  <c r="DG15" i="10"/>
  <c r="DG39" i="10"/>
  <c r="DG51" i="10"/>
  <c r="DG77" i="10"/>
  <c r="DG27" i="10"/>
  <c r="DG63" i="10"/>
  <c r="DE34" i="10"/>
  <c r="DI43" i="10"/>
  <c r="DJ81" i="10" s="1"/>
  <c r="DI44" i="10"/>
  <c r="DJ82" i="10" s="1"/>
  <c r="DI40" i="10"/>
  <c r="DJ78" i="10" s="1"/>
  <c r="DI42" i="10"/>
  <c r="DJ80" i="10" s="1"/>
  <c r="DI41" i="10"/>
  <c r="DJ79" i="10" s="1"/>
  <c r="DJ38" i="10"/>
  <c r="DI37" i="10"/>
  <c r="DF17" i="10"/>
  <c r="DF20" i="10"/>
  <c r="DG61" i="10"/>
  <c r="DH62" i="10"/>
  <c r="DH50" i="10"/>
  <c r="DG49" i="10"/>
  <c r="DF30" i="10"/>
  <c r="DF28" i="10"/>
  <c r="DF31" i="10"/>
  <c r="DF29" i="10"/>
  <c r="DF32" i="10"/>
  <c r="DF19" i="10"/>
  <c r="DF18" i="10"/>
  <c r="DH76" i="10"/>
  <c r="DG75" i="10"/>
  <c r="DI25" i="10"/>
  <c r="DJ26" i="10"/>
  <c r="DH14" i="10"/>
  <c r="DG13" i="10"/>
  <c r="DG20" i="10" s="1"/>
  <c r="DE22" i="10"/>
  <c r="DE71" i="10" s="1"/>
  <c r="DJ84" i="10" l="1"/>
  <c r="DF56" i="10"/>
  <c r="DF68" i="10"/>
  <c r="DF54" i="10"/>
  <c r="DF66" i="10"/>
  <c r="DG56" i="10"/>
  <c r="DG68" i="10"/>
  <c r="DF55" i="10"/>
  <c r="DF67" i="10"/>
  <c r="DF53" i="10"/>
  <c r="DF58" i="10" s="1"/>
  <c r="DF65" i="10"/>
  <c r="DF72" i="10" s="1"/>
  <c r="DE72" i="10"/>
  <c r="DE70" i="10" s="1"/>
  <c r="DG16" i="10"/>
  <c r="DG17" i="10"/>
  <c r="DH49" i="10"/>
  <c r="DI50" i="10"/>
  <c r="DH61" i="10"/>
  <c r="DI62" i="10"/>
  <c r="DG28" i="10"/>
  <c r="DG30" i="10"/>
  <c r="DG31" i="10"/>
  <c r="DG29" i="10"/>
  <c r="DG32" i="10"/>
  <c r="DF34" i="10"/>
  <c r="DI76" i="10"/>
  <c r="DH75" i="10"/>
  <c r="DG18" i="10"/>
  <c r="DH15" i="10"/>
  <c r="DH39" i="10"/>
  <c r="DH51" i="10"/>
  <c r="DH27" i="10"/>
  <c r="DH77" i="10"/>
  <c r="DH63" i="10"/>
  <c r="DG19" i="10"/>
  <c r="DJ43" i="10"/>
  <c r="DK81" i="10" s="1"/>
  <c r="DJ44" i="10"/>
  <c r="DK82" i="10" s="1"/>
  <c r="DJ40" i="10"/>
  <c r="DK78" i="10" s="1"/>
  <c r="DJ42" i="10"/>
  <c r="DK80" i="10" s="1"/>
  <c r="DJ41" i="10"/>
  <c r="DK79" i="10" s="1"/>
  <c r="DK38" i="10"/>
  <c r="DJ37" i="10"/>
  <c r="DF22" i="10"/>
  <c r="DF71" i="10" s="1"/>
  <c r="DJ25" i="10"/>
  <c r="DK26" i="10"/>
  <c r="DI14" i="10"/>
  <c r="DH13" i="10"/>
  <c r="DH16" i="10" s="1"/>
  <c r="DK84" i="10" l="1"/>
  <c r="DH17" i="10"/>
  <c r="DH53" i="10" s="1"/>
  <c r="DG52" i="10"/>
  <c r="DG64" i="10"/>
  <c r="DG55" i="10"/>
  <c r="DG67" i="10"/>
  <c r="DH65" i="10"/>
  <c r="DG54" i="10"/>
  <c r="DG66" i="10"/>
  <c r="DG53" i="10"/>
  <c r="DG58" i="10" s="1"/>
  <c r="DG65" i="10"/>
  <c r="DF70" i="10"/>
  <c r="DH52" i="10"/>
  <c r="DH64" i="10"/>
  <c r="DG22" i="10"/>
  <c r="DG71" i="10" s="1"/>
  <c r="DH18" i="10"/>
  <c r="DH19" i="10"/>
  <c r="DI15" i="10"/>
  <c r="DI77" i="10"/>
  <c r="DI51" i="10"/>
  <c r="DI27" i="10"/>
  <c r="DI63" i="10"/>
  <c r="DI39" i="10"/>
  <c r="DJ50" i="10"/>
  <c r="DI49" i="10"/>
  <c r="DH28" i="10"/>
  <c r="DH30" i="10"/>
  <c r="DH31" i="10"/>
  <c r="DH29" i="10"/>
  <c r="DH32" i="10"/>
  <c r="DH20" i="10"/>
  <c r="DJ76" i="10"/>
  <c r="DI75" i="10"/>
  <c r="DG34" i="10"/>
  <c r="DJ62" i="10"/>
  <c r="DI61" i="10"/>
  <c r="DK44" i="10"/>
  <c r="DL82" i="10" s="1"/>
  <c r="DK40" i="10"/>
  <c r="DL78" i="10" s="1"/>
  <c r="DK42" i="10"/>
  <c r="DL80" i="10" s="1"/>
  <c r="DK41" i="10"/>
  <c r="DL79" i="10" s="1"/>
  <c r="DK43" i="10"/>
  <c r="DL81" i="10" s="1"/>
  <c r="DK37" i="10"/>
  <c r="DL38" i="10"/>
  <c r="DK25" i="10"/>
  <c r="DL26" i="10"/>
  <c r="DJ14" i="10"/>
  <c r="DI13" i="10"/>
  <c r="DI18" i="10" s="1"/>
  <c r="DL84" i="10" l="1"/>
  <c r="DH55" i="10"/>
  <c r="DH67" i="10"/>
  <c r="DI54" i="10"/>
  <c r="DI66" i="10"/>
  <c r="DH54" i="10"/>
  <c r="DH66" i="10"/>
  <c r="DH56" i="10"/>
  <c r="DH68" i="10"/>
  <c r="DH72" i="10" s="1"/>
  <c r="DG72" i="10"/>
  <c r="DG70" i="10" s="1"/>
  <c r="DH58" i="10"/>
  <c r="DI28" i="10"/>
  <c r="DI30" i="10"/>
  <c r="DI32" i="10"/>
  <c r="DI31" i="10"/>
  <c r="DI29" i="10"/>
  <c r="DI19" i="10"/>
  <c r="DJ15" i="10"/>
  <c r="DJ77" i="10"/>
  <c r="DJ51" i="10"/>
  <c r="DJ39" i="10"/>
  <c r="DJ27" i="10"/>
  <c r="DJ63" i="10"/>
  <c r="DI16" i="10"/>
  <c r="DH34" i="10"/>
  <c r="DK62" i="10"/>
  <c r="DJ61" i="10"/>
  <c r="DL42" i="10"/>
  <c r="DM80" i="10" s="1"/>
  <c r="DL40" i="10"/>
  <c r="DM78" i="10" s="1"/>
  <c r="DL44" i="10"/>
  <c r="DM82" i="10" s="1"/>
  <c r="DL41" i="10"/>
  <c r="DM79" i="10" s="1"/>
  <c r="DL43" i="10"/>
  <c r="DM81" i="10" s="1"/>
  <c r="DM38" i="10"/>
  <c r="DL37" i="10"/>
  <c r="DJ75" i="10"/>
  <c r="DK76" i="10"/>
  <c r="DJ49" i="10"/>
  <c r="DK50" i="10"/>
  <c r="DI17" i="10"/>
  <c r="DI20" i="10"/>
  <c r="DM26" i="10"/>
  <c r="DL25" i="10"/>
  <c r="DK14" i="10"/>
  <c r="DJ13" i="10"/>
  <c r="DJ19" i="10" s="1"/>
  <c r="DH22" i="10"/>
  <c r="DH71" i="10" s="1"/>
  <c r="DM84" i="10" l="1"/>
  <c r="DJ17" i="10"/>
  <c r="DI52" i="10"/>
  <c r="DI64" i="10"/>
  <c r="DH70" i="10"/>
  <c r="DI56" i="10"/>
  <c r="DI68" i="10"/>
  <c r="DI53" i="10"/>
  <c r="DI65" i="10"/>
  <c r="DI55" i="10"/>
  <c r="DI67" i="10"/>
  <c r="DJ55" i="10"/>
  <c r="DJ67" i="10"/>
  <c r="DJ18" i="10"/>
  <c r="DI58" i="10"/>
  <c r="DK49" i="10"/>
  <c r="DL50" i="10"/>
  <c r="DM42" i="10"/>
  <c r="DN80" i="10" s="1"/>
  <c r="DM44" i="10"/>
  <c r="DN82" i="10" s="1"/>
  <c r="DM41" i="10"/>
  <c r="DN79" i="10" s="1"/>
  <c r="DM40" i="10"/>
  <c r="DN78" i="10" s="1"/>
  <c r="DM43" i="10"/>
  <c r="DN81" i="10" s="1"/>
  <c r="DM37" i="10"/>
  <c r="DN38" i="10"/>
  <c r="DL62" i="10"/>
  <c r="DK61" i="10"/>
  <c r="DJ32" i="10"/>
  <c r="DJ28" i="10"/>
  <c r="DJ30" i="10"/>
  <c r="DJ31" i="10"/>
  <c r="DJ29" i="10"/>
  <c r="DJ16" i="10"/>
  <c r="DK75" i="10"/>
  <c r="DL76" i="10"/>
  <c r="DK15" i="10"/>
  <c r="DK63" i="10"/>
  <c r="DK77" i="10"/>
  <c r="DK39" i="10"/>
  <c r="DK51" i="10"/>
  <c r="DK27" i="10"/>
  <c r="DJ20" i="10"/>
  <c r="DI34" i="10"/>
  <c r="DN26" i="10"/>
  <c r="DM25" i="10"/>
  <c r="DI22" i="10"/>
  <c r="DI71" i="10" s="1"/>
  <c r="DL14" i="10"/>
  <c r="DK13" i="10"/>
  <c r="DK17" i="10" s="1"/>
  <c r="DN84" i="10" l="1"/>
  <c r="DK53" i="10"/>
  <c r="DK65" i="10"/>
  <c r="DJ52" i="10"/>
  <c r="DJ64" i="10"/>
  <c r="DJ54" i="10"/>
  <c r="DJ66" i="10"/>
  <c r="DJ56" i="10"/>
  <c r="DJ68" i="10"/>
  <c r="DI72" i="10"/>
  <c r="DI70" i="10" s="1"/>
  <c r="DJ53" i="10"/>
  <c r="DJ58" i="10" s="1"/>
  <c r="DJ65" i="10"/>
  <c r="DL61" i="10"/>
  <c r="DM62" i="10"/>
  <c r="DM76" i="10"/>
  <c r="DL75" i="10"/>
  <c r="DK18" i="10"/>
  <c r="DN42" i="10"/>
  <c r="DO80" i="10" s="1"/>
  <c r="DN44" i="10"/>
  <c r="DO82" i="10" s="1"/>
  <c r="DN41" i="10"/>
  <c r="DO79" i="10" s="1"/>
  <c r="DN43" i="10"/>
  <c r="DO81" i="10" s="1"/>
  <c r="DN40" i="10"/>
  <c r="DO78" i="10" s="1"/>
  <c r="DO38" i="10"/>
  <c r="DN37" i="10"/>
  <c r="DK19" i="10"/>
  <c r="DK32" i="10"/>
  <c r="DK28" i="10"/>
  <c r="DK30" i="10"/>
  <c r="DK31" i="10"/>
  <c r="DK29" i="10"/>
  <c r="DK20" i="10"/>
  <c r="DK16" i="10"/>
  <c r="DJ34" i="10"/>
  <c r="DM50" i="10"/>
  <c r="DL49" i="10"/>
  <c r="DL15" i="10"/>
  <c r="DL39" i="10"/>
  <c r="DL63" i="10"/>
  <c r="DL51" i="10"/>
  <c r="DL77" i="10"/>
  <c r="DL27" i="10"/>
  <c r="DO26" i="10"/>
  <c r="DN25" i="10"/>
  <c r="DM14" i="10"/>
  <c r="DL13" i="10"/>
  <c r="DJ22" i="10"/>
  <c r="DJ71" i="10" s="1"/>
  <c r="DO84" i="10" l="1"/>
  <c r="DK56" i="10"/>
  <c r="DK68" i="10"/>
  <c r="DK55" i="10"/>
  <c r="DK67" i="10"/>
  <c r="DJ72" i="10"/>
  <c r="DJ70" i="10"/>
  <c r="DK52" i="10"/>
  <c r="DK64" i="10"/>
  <c r="DK54" i="10"/>
  <c r="DK66" i="10"/>
  <c r="DK22" i="10"/>
  <c r="DK71" i="10" s="1"/>
  <c r="DL29" i="10"/>
  <c r="DL32" i="10"/>
  <c r="DL28" i="10"/>
  <c r="DL30" i="10"/>
  <c r="DL31" i="10"/>
  <c r="DL20" i="10"/>
  <c r="DN76" i="10"/>
  <c r="DM75" i="10"/>
  <c r="DK34" i="10"/>
  <c r="DL19" i="10"/>
  <c r="DL16" i="10"/>
  <c r="DL17" i="10"/>
  <c r="DM15" i="10"/>
  <c r="DM39" i="10"/>
  <c r="DM63" i="10"/>
  <c r="DM77" i="10"/>
  <c r="DM51" i="10"/>
  <c r="DM27" i="10"/>
  <c r="DL18" i="10"/>
  <c r="DN62" i="10"/>
  <c r="DM61" i="10"/>
  <c r="DO42" i="10"/>
  <c r="DP80" i="10" s="1"/>
  <c r="DO43" i="10"/>
  <c r="DP81" i="10" s="1"/>
  <c r="DO44" i="10"/>
  <c r="DP82" i="10" s="1"/>
  <c r="DO41" i="10"/>
  <c r="DP79" i="10" s="1"/>
  <c r="DO40" i="10"/>
  <c r="DP78" i="10" s="1"/>
  <c r="DP38" i="10"/>
  <c r="DO37" i="10"/>
  <c r="DN50" i="10"/>
  <c r="DM49" i="10"/>
  <c r="DP26" i="10"/>
  <c r="DO25" i="10"/>
  <c r="DN14" i="10"/>
  <c r="DM13" i="10"/>
  <c r="DM20" i="10" s="1"/>
  <c r="DP84" i="10" l="1"/>
  <c r="DK58" i="10"/>
  <c r="DM56" i="10"/>
  <c r="DM68" i="10"/>
  <c r="DK72" i="10"/>
  <c r="DK70" i="10"/>
  <c r="DL55" i="10"/>
  <c r="DL67" i="10"/>
  <c r="DL54" i="10"/>
  <c r="DL66" i="10"/>
  <c r="DL52" i="10"/>
  <c r="DL64" i="10"/>
  <c r="DL56" i="10"/>
  <c r="DL68" i="10"/>
  <c r="DL53" i="10"/>
  <c r="DL65" i="10"/>
  <c r="DN61" i="10"/>
  <c r="DO62" i="10"/>
  <c r="DM29" i="10"/>
  <c r="DM32" i="10"/>
  <c r="DM28" i="10"/>
  <c r="DM30" i="10"/>
  <c r="DM31" i="10"/>
  <c r="DM17" i="10"/>
  <c r="DO76" i="10"/>
  <c r="DN75" i="10"/>
  <c r="DN15" i="10"/>
  <c r="DN39" i="10"/>
  <c r="DN77" i="10"/>
  <c r="DN63" i="10"/>
  <c r="DN51" i="10"/>
  <c r="DN27" i="10"/>
  <c r="DO50" i="10"/>
  <c r="DN49" i="10"/>
  <c r="DL34" i="10"/>
  <c r="DM19" i="10"/>
  <c r="DP42" i="10"/>
  <c r="DQ80" i="10" s="1"/>
  <c r="DP43" i="10"/>
  <c r="DQ81" i="10" s="1"/>
  <c r="DP44" i="10"/>
  <c r="DQ82" i="10" s="1"/>
  <c r="DP41" i="10"/>
  <c r="DQ79" i="10" s="1"/>
  <c r="DP40" i="10"/>
  <c r="DQ78" i="10" s="1"/>
  <c r="DQ38" i="10"/>
  <c r="DP37" i="10"/>
  <c r="DM16" i="10"/>
  <c r="DL22" i="10"/>
  <c r="DL71" i="10" s="1"/>
  <c r="DM18" i="10"/>
  <c r="DQ26" i="10"/>
  <c r="DP25" i="10"/>
  <c r="DO14" i="10"/>
  <c r="DN13" i="10"/>
  <c r="DL58" i="10" l="1"/>
  <c r="DQ84" i="10"/>
  <c r="DL72" i="10"/>
  <c r="DM54" i="10"/>
  <c r="DM66" i="10"/>
  <c r="DM53" i="10"/>
  <c r="DM65" i="10"/>
  <c r="DM55" i="10"/>
  <c r="DM67" i="10"/>
  <c r="DL70" i="10"/>
  <c r="DM52" i="10"/>
  <c r="DM58" i="10" s="1"/>
  <c r="DM64" i="10"/>
  <c r="DM72" i="10" s="1"/>
  <c r="DN31" i="10"/>
  <c r="DN29" i="10"/>
  <c r="DN32" i="10"/>
  <c r="DN28" i="10"/>
  <c r="DN30" i="10"/>
  <c r="DQ42" i="10"/>
  <c r="DR80" i="10" s="1"/>
  <c r="DQ41" i="10"/>
  <c r="DR79" i="10" s="1"/>
  <c r="DQ43" i="10"/>
  <c r="DR81" i="10" s="1"/>
  <c r="DQ44" i="10"/>
  <c r="DR82" i="10" s="1"/>
  <c r="DQ40" i="10"/>
  <c r="DR78" i="10" s="1"/>
  <c r="DR38" i="10"/>
  <c r="DQ37" i="10"/>
  <c r="DN17" i="10"/>
  <c r="DM34" i="10"/>
  <c r="DP76" i="10"/>
  <c r="DO75" i="10"/>
  <c r="DN20" i="10"/>
  <c r="DN16" i="10"/>
  <c r="DP50" i="10"/>
  <c r="DO49" i="10"/>
  <c r="DP62" i="10"/>
  <c r="DO61" i="10"/>
  <c r="DO15" i="10"/>
  <c r="DO27" i="10"/>
  <c r="DO39" i="10"/>
  <c r="DO63" i="10"/>
  <c r="DO77" i="10"/>
  <c r="DO51" i="10"/>
  <c r="DN19" i="10"/>
  <c r="DN18" i="10"/>
  <c r="DR26" i="10"/>
  <c r="DQ25" i="10"/>
  <c r="DP14" i="10"/>
  <c r="DO13" i="10"/>
  <c r="DO20" i="10" s="1"/>
  <c r="DM22" i="10"/>
  <c r="DM71" i="10" s="1"/>
  <c r="DM70" i="10" s="1"/>
  <c r="DR84" i="10" l="1"/>
  <c r="DO56" i="10"/>
  <c r="DO68" i="10"/>
  <c r="DN56" i="10"/>
  <c r="DN68" i="10"/>
  <c r="DN55" i="10"/>
  <c r="DN67" i="10"/>
  <c r="DN52" i="10"/>
  <c r="DN64" i="10"/>
  <c r="DN53" i="10"/>
  <c r="DN65" i="10"/>
  <c r="DN54" i="10"/>
  <c r="DN66" i="10"/>
  <c r="DO31" i="10"/>
  <c r="DO29" i="10"/>
  <c r="DO32" i="10"/>
  <c r="DO28" i="10"/>
  <c r="DO30" i="10"/>
  <c r="DP15" i="10"/>
  <c r="DP27" i="10"/>
  <c r="DP39" i="10"/>
  <c r="DP63" i="10"/>
  <c r="DP77" i="10"/>
  <c r="DP51" i="10"/>
  <c r="DQ50" i="10"/>
  <c r="DP49" i="10"/>
  <c r="DO18" i="10"/>
  <c r="DN34" i="10"/>
  <c r="DR43" i="10"/>
  <c r="DS81" i="10" s="1"/>
  <c r="DR44" i="10"/>
  <c r="DS82" i="10" s="1"/>
  <c r="DR41" i="10"/>
  <c r="DS79" i="10" s="1"/>
  <c r="DR42" i="10"/>
  <c r="DS80" i="10" s="1"/>
  <c r="DR40" i="10"/>
  <c r="DS78" i="10" s="1"/>
  <c r="DS38" i="10"/>
  <c r="DR37" i="10"/>
  <c r="DO19" i="10"/>
  <c r="DO16" i="10"/>
  <c r="DO17" i="10"/>
  <c r="DP17" i="10"/>
  <c r="DP19" i="10"/>
  <c r="DP18" i="10"/>
  <c r="DP20" i="10"/>
  <c r="DP16" i="10"/>
  <c r="DQ76" i="10"/>
  <c r="DP75" i="10"/>
  <c r="DP61" i="10"/>
  <c r="DQ62" i="10"/>
  <c r="DN22" i="10"/>
  <c r="DN71" i="10" s="1"/>
  <c r="DR25" i="10"/>
  <c r="DS26" i="10"/>
  <c r="DQ14" i="10"/>
  <c r="DP13" i="10"/>
  <c r="DS84" i="10" l="1"/>
  <c r="DN58" i="10"/>
  <c r="DP56" i="10"/>
  <c r="DP68" i="10"/>
  <c r="DP54" i="10"/>
  <c r="DP66" i="10"/>
  <c r="DP53" i="10"/>
  <c r="DP65" i="10"/>
  <c r="DO55" i="10"/>
  <c r="DO67" i="10"/>
  <c r="DP52" i="10"/>
  <c r="DP58" i="10" s="1"/>
  <c r="DP64" i="10"/>
  <c r="DP72" i="10" s="1"/>
  <c r="DO54" i="10"/>
  <c r="DO66" i="10"/>
  <c r="DN72" i="10"/>
  <c r="DN70" i="10" s="1"/>
  <c r="DO52" i="10"/>
  <c r="DO64" i="10"/>
  <c r="DP55" i="10"/>
  <c r="DP67" i="10"/>
  <c r="DO53" i="10"/>
  <c r="DO65" i="10"/>
  <c r="DO22" i="10"/>
  <c r="DO71" i="10" s="1"/>
  <c r="DS44" i="10"/>
  <c r="DT82" i="10" s="1"/>
  <c r="DS41" i="10"/>
  <c r="DT79" i="10" s="1"/>
  <c r="DS42" i="10"/>
  <c r="DT80" i="10" s="1"/>
  <c r="DS43" i="10"/>
  <c r="DT81" i="10" s="1"/>
  <c r="DS40" i="10"/>
  <c r="DT78" i="10" s="1"/>
  <c r="DS37" i="10"/>
  <c r="DT38" i="10"/>
  <c r="DO34" i="10"/>
  <c r="DQ75" i="10"/>
  <c r="DR76" i="10"/>
  <c r="DQ15" i="10"/>
  <c r="DQ27" i="10"/>
  <c r="DQ39" i="10"/>
  <c r="DQ63" i="10"/>
  <c r="DQ77" i="10"/>
  <c r="DQ51" i="10"/>
  <c r="DQ61" i="10"/>
  <c r="DR62" i="10"/>
  <c r="DR50" i="10"/>
  <c r="DQ49" i="10"/>
  <c r="DP31" i="10"/>
  <c r="DP29" i="10"/>
  <c r="DP32" i="10"/>
  <c r="DP30" i="10"/>
  <c r="DP28" i="10"/>
  <c r="DS25" i="10"/>
  <c r="DT26" i="10"/>
  <c r="DP22" i="10"/>
  <c r="DP71" i="10" s="1"/>
  <c r="DR14" i="10"/>
  <c r="DQ13" i="10"/>
  <c r="DO58" i="10" l="1"/>
  <c r="DP34" i="10"/>
  <c r="DT84" i="10"/>
  <c r="DO72" i="10"/>
  <c r="DO70" i="10" s="1"/>
  <c r="DP70" i="10"/>
  <c r="DQ31" i="10"/>
  <c r="DQ29" i="10"/>
  <c r="DQ32" i="10"/>
  <c r="DQ28" i="10"/>
  <c r="DQ30" i="10"/>
  <c r="DR75" i="10"/>
  <c r="DS76" i="10"/>
  <c r="DQ16" i="10"/>
  <c r="DQ64" i="10" s="1"/>
  <c r="DR15" i="10"/>
  <c r="DR51" i="10"/>
  <c r="DR39" i="10"/>
  <c r="DR63" i="10"/>
  <c r="DR27" i="10"/>
  <c r="DR77" i="10"/>
  <c r="DR49" i="10"/>
  <c r="DS50" i="10"/>
  <c r="DQ20" i="10"/>
  <c r="DS62" i="10"/>
  <c r="DR61" i="10"/>
  <c r="DQ18" i="10"/>
  <c r="DT44" i="10"/>
  <c r="DU82" i="10" s="1"/>
  <c r="DT40" i="10"/>
  <c r="DU78" i="10" s="1"/>
  <c r="DT41" i="10"/>
  <c r="DU79" i="10" s="1"/>
  <c r="DT42" i="10"/>
  <c r="DU80" i="10" s="1"/>
  <c r="DT43" i="10"/>
  <c r="DU81" i="10" s="1"/>
  <c r="DT37" i="10"/>
  <c r="DU38" i="10"/>
  <c r="DQ19" i="10"/>
  <c r="DQ17" i="10"/>
  <c r="DU26" i="10"/>
  <c r="DT25" i="10"/>
  <c r="DS14" i="10"/>
  <c r="DR13" i="10"/>
  <c r="DR17" i="10" s="1"/>
  <c r="DU84" i="10" l="1"/>
  <c r="DR53" i="10"/>
  <c r="DR65" i="10"/>
  <c r="DQ54" i="10"/>
  <c r="DQ66" i="10"/>
  <c r="DQ55" i="10"/>
  <c r="DQ67" i="10"/>
  <c r="DR18" i="10"/>
  <c r="DQ56" i="10"/>
  <c r="DQ68" i="10"/>
  <c r="DQ53" i="10"/>
  <c r="DQ65" i="10"/>
  <c r="DT50" i="10"/>
  <c r="DS49" i="10"/>
  <c r="DR29" i="10"/>
  <c r="DR30" i="10"/>
  <c r="DR32" i="10"/>
  <c r="DR28" i="10"/>
  <c r="DR31" i="10"/>
  <c r="DQ34" i="10"/>
  <c r="DS15" i="10"/>
  <c r="DS51" i="10"/>
  <c r="DS39" i="10"/>
  <c r="DS63" i="10"/>
  <c r="DS27" i="10"/>
  <c r="DS77" i="10"/>
  <c r="DR20" i="10"/>
  <c r="DS75" i="10"/>
  <c r="DT76" i="10"/>
  <c r="DR19" i="10"/>
  <c r="DU44" i="10"/>
  <c r="DV82" i="10" s="1"/>
  <c r="DU41" i="10"/>
  <c r="DV79" i="10" s="1"/>
  <c r="DU42" i="10"/>
  <c r="DV80" i="10" s="1"/>
  <c r="DU43" i="10"/>
  <c r="DV81" i="10" s="1"/>
  <c r="DU40" i="10"/>
  <c r="DV78" i="10" s="1"/>
  <c r="DU37" i="10"/>
  <c r="DV38" i="10"/>
  <c r="DQ52" i="10"/>
  <c r="DQ22" i="10"/>
  <c r="DQ71" i="10" s="1"/>
  <c r="DT62" i="10"/>
  <c r="DS61" i="10"/>
  <c r="DR16" i="10"/>
  <c r="DV26" i="10"/>
  <c r="DU25" i="10"/>
  <c r="DT14" i="10"/>
  <c r="DS13" i="10"/>
  <c r="DS20" i="10" s="1"/>
  <c r="DV84" i="10" l="1"/>
  <c r="DQ72" i="10"/>
  <c r="DR52" i="10"/>
  <c r="DR64" i="10"/>
  <c r="DR54" i="10"/>
  <c r="DR66" i="10"/>
  <c r="DS56" i="10"/>
  <c r="DS68" i="10"/>
  <c r="DQ58" i="10"/>
  <c r="DR55" i="10"/>
  <c r="DR67" i="10"/>
  <c r="DR56" i="10"/>
  <c r="DR68" i="10"/>
  <c r="DQ70" i="10"/>
  <c r="DT15" i="10"/>
  <c r="DT51" i="10"/>
  <c r="DT39" i="10"/>
  <c r="DT63" i="10"/>
  <c r="DT27" i="10"/>
  <c r="DT77" i="10"/>
  <c r="DS18" i="10"/>
  <c r="DS29" i="10"/>
  <c r="DS30" i="10"/>
  <c r="DS32" i="10"/>
  <c r="DS28" i="10"/>
  <c r="DS31" i="10"/>
  <c r="DT18" i="10"/>
  <c r="DT16" i="10"/>
  <c r="DT17" i="10"/>
  <c r="DT19" i="10"/>
  <c r="DS19" i="10"/>
  <c r="DV44" i="10"/>
  <c r="DW82" i="10" s="1"/>
  <c r="DV42" i="10"/>
  <c r="DW80" i="10" s="1"/>
  <c r="DV43" i="10"/>
  <c r="DW81" i="10" s="1"/>
  <c r="DV40" i="10"/>
  <c r="DW78" i="10" s="1"/>
  <c r="DV41" i="10"/>
  <c r="DW79" i="10" s="1"/>
  <c r="DV37" i="10"/>
  <c r="DW38" i="10"/>
  <c r="DT75" i="10"/>
  <c r="DU76" i="10"/>
  <c r="DS17" i="10"/>
  <c r="DR22" i="10"/>
  <c r="DR71" i="10" s="1"/>
  <c r="DR34" i="10"/>
  <c r="DU62" i="10"/>
  <c r="DT61" i="10"/>
  <c r="DS16" i="10"/>
  <c r="DT49" i="10"/>
  <c r="DU50" i="10"/>
  <c r="DV25" i="10"/>
  <c r="DW26" i="10"/>
  <c r="DU14" i="10"/>
  <c r="DT13" i="10"/>
  <c r="DR58" i="10" l="1"/>
  <c r="DW84" i="10"/>
  <c r="DS55" i="10"/>
  <c r="DS67" i="10"/>
  <c r="DT55" i="10"/>
  <c r="DT67" i="10"/>
  <c r="DT52" i="10"/>
  <c r="DT64" i="10"/>
  <c r="DS54" i="10"/>
  <c r="DS66" i="10"/>
  <c r="DS52" i="10"/>
  <c r="DS64" i="10"/>
  <c r="DT53" i="10"/>
  <c r="DT65" i="10"/>
  <c r="DR72" i="10"/>
  <c r="DR70" i="10" s="1"/>
  <c r="DT54" i="10"/>
  <c r="DT66" i="10"/>
  <c r="DS53" i="10"/>
  <c r="DS65" i="10"/>
  <c r="DS22" i="10"/>
  <c r="DS71" i="10" s="1"/>
  <c r="DV62" i="10"/>
  <c r="DU61" i="10"/>
  <c r="DS34" i="10"/>
  <c r="DV50" i="10"/>
  <c r="DU49" i="10"/>
  <c r="DW44" i="10"/>
  <c r="DX82" i="10" s="1"/>
  <c r="DW43" i="10"/>
  <c r="DX81" i="10" s="1"/>
  <c r="DW40" i="10"/>
  <c r="DX78" i="10" s="1"/>
  <c r="DW41" i="10"/>
  <c r="DX79" i="10" s="1"/>
  <c r="DW42" i="10"/>
  <c r="DX80" i="10" s="1"/>
  <c r="DX38" i="10"/>
  <c r="DW37" i="10"/>
  <c r="DV76" i="10"/>
  <c r="DU75" i="10"/>
  <c r="DT29" i="10"/>
  <c r="DT30" i="10"/>
  <c r="DT32" i="10"/>
  <c r="DT28" i="10"/>
  <c r="DT31" i="10"/>
  <c r="DT20" i="10"/>
  <c r="DU15" i="10"/>
  <c r="DU39" i="10"/>
  <c r="DU51" i="10"/>
  <c r="DU63" i="10"/>
  <c r="DU27" i="10"/>
  <c r="DU77" i="10"/>
  <c r="DW25" i="10"/>
  <c r="DX26" i="10"/>
  <c r="DV14" i="10"/>
  <c r="DU13" i="10"/>
  <c r="DS72" i="10" l="1"/>
  <c r="DX84" i="10"/>
  <c r="DS58" i="10"/>
  <c r="DS70" i="10"/>
  <c r="DT56" i="10"/>
  <c r="DT58" i="10" s="1"/>
  <c r="DT68" i="10"/>
  <c r="DT72" i="10" s="1"/>
  <c r="DT22" i="10"/>
  <c r="DT71" i="10" s="1"/>
  <c r="DX43" i="10"/>
  <c r="DY81" i="10" s="1"/>
  <c r="DX44" i="10"/>
  <c r="DY82" i="10" s="1"/>
  <c r="DX40" i="10"/>
  <c r="DY78" i="10" s="1"/>
  <c r="DX41" i="10"/>
  <c r="DY79" i="10" s="1"/>
  <c r="DX42" i="10"/>
  <c r="DY80" i="10" s="1"/>
  <c r="DX37" i="10"/>
  <c r="DY38" i="10"/>
  <c r="DU30" i="10"/>
  <c r="DU29" i="10"/>
  <c r="DU31" i="10"/>
  <c r="DU32" i="10"/>
  <c r="DU28" i="10"/>
  <c r="DV15" i="10"/>
  <c r="DV39" i="10"/>
  <c r="DV51" i="10"/>
  <c r="DV63" i="10"/>
  <c r="DV27" i="10"/>
  <c r="DV77" i="10"/>
  <c r="DV49" i="10"/>
  <c r="DW50" i="10"/>
  <c r="DT34" i="10"/>
  <c r="DW62" i="10"/>
  <c r="DV61" i="10"/>
  <c r="DV75" i="10"/>
  <c r="DW76" i="10"/>
  <c r="DU18" i="10"/>
  <c r="DU19" i="10"/>
  <c r="DU17" i="10"/>
  <c r="DU16" i="10"/>
  <c r="DU20" i="10"/>
  <c r="DY26" i="10"/>
  <c r="DX25" i="10"/>
  <c r="DW14" i="10"/>
  <c r="DV13" i="10"/>
  <c r="DV19" i="10" s="1"/>
  <c r="DY84" i="10" l="1"/>
  <c r="DU55" i="10"/>
  <c r="DU67" i="10"/>
  <c r="DT70" i="10"/>
  <c r="DU52" i="10"/>
  <c r="DU64" i="10"/>
  <c r="DU54" i="10"/>
  <c r="DU66" i="10"/>
  <c r="DV55" i="10"/>
  <c r="DV67" i="10"/>
  <c r="DU56" i="10"/>
  <c r="DU68" i="10"/>
  <c r="DU53" i="10"/>
  <c r="DU58" i="10" s="1"/>
  <c r="DU65" i="10"/>
  <c r="DU34" i="10"/>
  <c r="DV16" i="10"/>
  <c r="DV17" i="10"/>
  <c r="DX62" i="10"/>
  <c r="DW61" i="10"/>
  <c r="DW49" i="10"/>
  <c r="DX50" i="10"/>
  <c r="DX76" i="10"/>
  <c r="DW75" i="10"/>
  <c r="DV30" i="10"/>
  <c r="DV29" i="10"/>
  <c r="DV28" i="10"/>
  <c r="DV31" i="10"/>
  <c r="DV32" i="10"/>
  <c r="DV18" i="10"/>
  <c r="DY43" i="10"/>
  <c r="DZ81" i="10" s="1"/>
  <c r="DY40" i="10"/>
  <c r="DZ78" i="10" s="1"/>
  <c r="DY41" i="10"/>
  <c r="DZ79" i="10" s="1"/>
  <c r="DY44" i="10"/>
  <c r="DZ82" i="10" s="1"/>
  <c r="DY42" i="10"/>
  <c r="DZ80" i="10" s="1"/>
  <c r="DY37" i="10"/>
  <c r="DZ38" i="10"/>
  <c r="DU22" i="10"/>
  <c r="DU71" i="10" s="1"/>
  <c r="DW15" i="10"/>
  <c r="DW39" i="10"/>
  <c r="DW51" i="10"/>
  <c r="DW63" i="10"/>
  <c r="DW27" i="10"/>
  <c r="DW77" i="10"/>
  <c r="DV20" i="10"/>
  <c r="DY25" i="10"/>
  <c r="DZ26" i="10"/>
  <c r="DX14" i="10"/>
  <c r="DW13" i="10"/>
  <c r="DW18" i="10" s="1"/>
  <c r="DZ84" i="10" l="1"/>
  <c r="DV52" i="10"/>
  <c r="DV64" i="10"/>
  <c r="DV54" i="10"/>
  <c r="DV66" i="10"/>
  <c r="DV53" i="10"/>
  <c r="DV65" i="10"/>
  <c r="DV56" i="10"/>
  <c r="DV68" i="10"/>
  <c r="DW54" i="10"/>
  <c r="DW66" i="10"/>
  <c r="DU72" i="10"/>
  <c r="DU70" i="10" s="1"/>
  <c r="DV22" i="10"/>
  <c r="DV71" i="10" s="1"/>
  <c r="DV34" i="10"/>
  <c r="DZ43" i="10"/>
  <c r="EA81" i="10" s="1"/>
  <c r="DZ40" i="10"/>
  <c r="EA78" i="10" s="1"/>
  <c r="DZ41" i="10"/>
  <c r="EA79" i="10" s="1"/>
  <c r="DZ44" i="10"/>
  <c r="EA82" i="10" s="1"/>
  <c r="DZ42" i="10"/>
  <c r="EA80" i="10" s="1"/>
  <c r="DZ37" i="10"/>
  <c r="EA38" i="10"/>
  <c r="DW16" i="10"/>
  <c r="DW17" i="10"/>
  <c r="DW20" i="10"/>
  <c r="DY76" i="10"/>
  <c r="DX75" i="10"/>
  <c r="DY62" i="10"/>
  <c r="DX61" i="10"/>
  <c r="DW19" i="10"/>
  <c r="DW28" i="10"/>
  <c r="DW30" i="10"/>
  <c r="DW29" i="10"/>
  <c r="DW31" i="10"/>
  <c r="DW32" i="10"/>
  <c r="DX15" i="10"/>
  <c r="DX39" i="10"/>
  <c r="DX51" i="10"/>
  <c r="DX63" i="10"/>
  <c r="DX27" i="10"/>
  <c r="DX77" i="10"/>
  <c r="DY50" i="10"/>
  <c r="DX49" i="10"/>
  <c r="DV58" i="10"/>
  <c r="DZ25" i="10"/>
  <c r="EA26" i="10"/>
  <c r="DY14" i="10"/>
  <c r="DX13" i="10"/>
  <c r="DX17" i="10" s="1"/>
  <c r="EA84" i="10" l="1"/>
  <c r="DX53" i="10"/>
  <c r="DX65" i="10"/>
  <c r="DW55" i="10"/>
  <c r="DW67" i="10"/>
  <c r="DW56" i="10"/>
  <c r="DW68" i="10"/>
  <c r="DW53" i="10"/>
  <c r="DW65" i="10"/>
  <c r="DW52" i="10"/>
  <c r="DW64" i="10"/>
  <c r="DV72" i="10"/>
  <c r="DV70" i="10" s="1"/>
  <c r="EA40" i="10"/>
  <c r="EB78" i="10" s="1"/>
  <c r="EA43" i="10"/>
  <c r="EB81" i="10" s="1"/>
  <c r="EA41" i="10"/>
  <c r="EB79" i="10" s="1"/>
  <c r="EA44" i="10"/>
  <c r="EB82" i="10" s="1"/>
  <c r="EA42" i="10"/>
  <c r="EB80" i="10" s="1"/>
  <c r="EA37" i="10"/>
  <c r="EB38" i="10"/>
  <c r="DY15" i="10"/>
  <c r="DY77" i="10"/>
  <c r="DY51" i="10"/>
  <c r="DY39" i="10"/>
  <c r="DY27" i="10"/>
  <c r="DY63" i="10"/>
  <c r="DX19" i="10"/>
  <c r="DX28" i="10"/>
  <c r="DX30" i="10"/>
  <c r="DX29" i="10"/>
  <c r="DX31" i="10"/>
  <c r="DX32" i="10"/>
  <c r="DX18" i="10"/>
  <c r="DW34" i="10"/>
  <c r="DX16" i="10"/>
  <c r="DY61" i="10"/>
  <c r="DZ62" i="10"/>
  <c r="DY49" i="10"/>
  <c r="DZ50" i="10"/>
  <c r="DY75" i="10"/>
  <c r="DZ76" i="10"/>
  <c r="DX20" i="10"/>
  <c r="EA25" i="10"/>
  <c r="EB26" i="10"/>
  <c r="DZ14" i="10"/>
  <c r="DY13" i="10"/>
  <c r="DY18" i="10" s="1"/>
  <c r="DW22" i="10"/>
  <c r="DW71" i="10" s="1"/>
  <c r="DW72" i="10" l="1"/>
  <c r="DW70" i="10" s="1"/>
  <c r="DW58" i="10"/>
  <c r="EB84" i="10"/>
  <c r="DY54" i="10"/>
  <c r="DY66" i="10"/>
  <c r="DX56" i="10"/>
  <c r="DX68" i="10"/>
  <c r="DX55" i="10"/>
  <c r="DX67" i="10"/>
  <c r="DX54" i="10"/>
  <c r="DX66" i="10"/>
  <c r="DX52" i="10"/>
  <c r="DX64" i="10"/>
  <c r="DX58" i="10"/>
  <c r="DX22" i="10"/>
  <c r="DX71" i="10" s="1"/>
  <c r="DY16" i="10"/>
  <c r="DZ49" i="10"/>
  <c r="EA50" i="10"/>
  <c r="DZ61" i="10"/>
  <c r="EA62" i="10"/>
  <c r="EB42" i="10"/>
  <c r="EC80" i="10" s="1"/>
  <c r="EB44" i="10"/>
  <c r="EC82" i="10" s="1"/>
  <c r="EB40" i="10"/>
  <c r="EC78" i="10" s="1"/>
  <c r="EB43" i="10"/>
  <c r="EC81" i="10" s="1"/>
  <c r="EB41" i="10"/>
  <c r="EC79" i="10" s="1"/>
  <c r="EC38" i="10"/>
  <c r="EB37" i="10"/>
  <c r="DX34" i="10"/>
  <c r="DY20" i="10"/>
  <c r="DY17" i="10"/>
  <c r="DZ15" i="10"/>
  <c r="DZ77" i="10"/>
  <c r="DZ51" i="10"/>
  <c r="DZ39" i="10"/>
  <c r="DZ27" i="10"/>
  <c r="DZ63" i="10"/>
  <c r="DZ75" i="10"/>
  <c r="EA76" i="10"/>
  <c r="DY28" i="10"/>
  <c r="DY30" i="10"/>
  <c r="DY31" i="10"/>
  <c r="DY32" i="10"/>
  <c r="DY29" i="10"/>
  <c r="DY19" i="10"/>
  <c r="EC26" i="10"/>
  <c r="EB25" i="10"/>
  <c r="EA14" i="10"/>
  <c r="DZ13" i="10"/>
  <c r="DZ18" i="10" s="1"/>
  <c r="DX72" i="10" l="1"/>
  <c r="DX70" i="10"/>
  <c r="EC84" i="10"/>
  <c r="DY56" i="10"/>
  <c r="DY68" i="10"/>
  <c r="DY52" i="10"/>
  <c r="DY64" i="10"/>
  <c r="DY53" i="10"/>
  <c r="DY65" i="10"/>
  <c r="DY55" i="10"/>
  <c r="DY67" i="10"/>
  <c r="DZ54" i="10"/>
  <c r="DZ66" i="10"/>
  <c r="DY22" i="10"/>
  <c r="DY71" i="10" s="1"/>
  <c r="EA15" i="10"/>
  <c r="EA63" i="10"/>
  <c r="EA77" i="10"/>
  <c r="EA51" i="10"/>
  <c r="EA39" i="10"/>
  <c r="EA27" i="10"/>
  <c r="DZ32" i="10"/>
  <c r="DZ28" i="10"/>
  <c r="DZ30" i="10"/>
  <c r="DZ31" i="10"/>
  <c r="DZ29" i="10"/>
  <c r="DZ19" i="10"/>
  <c r="DY34" i="10"/>
  <c r="EB50" i="10"/>
  <c r="EA49" i="10"/>
  <c r="EA75" i="10"/>
  <c r="EB76" i="10"/>
  <c r="DZ20" i="10"/>
  <c r="DZ17" i="10"/>
  <c r="EC44" i="10"/>
  <c r="ED82" i="10" s="1"/>
  <c r="EC40" i="10"/>
  <c r="ED78" i="10" s="1"/>
  <c r="EC43" i="10"/>
  <c r="ED81" i="10" s="1"/>
  <c r="EC41" i="10"/>
  <c r="ED79" i="10" s="1"/>
  <c r="EC42" i="10"/>
  <c r="ED80" i="10" s="1"/>
  <c r="ED38" i="10"/>
  <c r="EC37" i="10"/>
  <c r="EA61" i="10"/>
  <c r="EB62" i="10"/>
  <c r="DZ16" i="10"/>
  <c r="ED26" i="10"/>
  <c r="EC25" i="10"/>
  <c r="EB14" i="10"/>
  <c r="EA13" i="10"/>
  <c r="EA17" i="10" s="1"/>
  <c r="ED84" i="10" l="1"/>
  <c r="DY58" i="10"/>
  <c r="DZ56" i="10"/>
  <c r="DZ68" i="10"/>
  <c r="DY72" i="10"/>
  <c r="EA53" i="10"/>
  <c r="EA65" i="10"/>
  <c r="DZ55" i="10"/>
  <c r="DZ67" i="10"/>
  <c r="DZ53" i="10"/>
  <c r="DZ65" i="10"/>
  <c r="DY70" i="10"/>
  <c r="DZ52" i="10"/>
  <c r="DZ58" i="10" s="1"/>
  <c r="DZ64" i="10"/>
  <c r="DZ72" i="10" s="1"/>
  <c r="DZ22" i="10"/>
  <c r="DZ71" i="10" s="1"/>
  <c r="EA32" i="10"/>
  <c r="EA28" i="10"/>
  <c r="EA31" i="10"/>
  <c r="EA29" i="10"/>
  <c r="EA30" i="10"/>
  <c r="EC50" i="10"/>
  <c r="EB49" i="10"/>
  <c r="DZ34" i="10"/>
  <c r="EB75" i="10"/>
  <c r="EC76" i="10"/>
  <c r="EA20" i="10"/>
  <c r="ED44" i="10"/>
  <c r="EE82" i="10" s="1"/>
  <c r="ED43" i="10"/>
  <c r="EE81" i="10" s="1"/>
  <c r="ED41" i="10"/>
  <c r="EE79" i="10" s="1"/>
  <c r="ED42" i="10"/>
  <c r="EE80" i="10" s="1"/>
  <c r="ED40" i="10"/>
  <c r="EE78" i="10" s="1"/>
  <c r="ED37" i="10"/>
  <c r="EE38" i="10"/>
  <c r="EA16" i="10"/>
  <c r="EA18" i="10"/>
  <c r="EB61" i="10"/>
  <c r="EC62" i="10"/>
  <c r="EA19" i="10"/>
  <c r="EB15" i="10"/>
  <c r="EB63" i="10"/>
  <c r="EB51" i="10"/>
  <c r="EB77" i="10"/>
  <c r="EB39" i="10"/>
  <c r="EB27" i="10"/>
  <c r="ED25" i="10"/>
  <c r="EE26" i="10"/>
  <c r="EC14" i="10"/>
  <c r="EB13" i="10"/>
  <c r="DZ70" i="10" l="1"/>
  <c r="EE84" i="10"/>
  <c r="EA56" i="10"/>
  <c r="EA68" i="10"/>
  <c r="EA55" i="10"/>
  <c r="EA67" i="10"/>
  <c r="EA54" i="10"/>
  <c r="EA66" i="10"/>
  <c r="EA52" i="10"/>
  <c r="EA58" i="10" s="1"/>
  <c r="EA64" i="10"/>
  <c r="ED76" i="10"/>
  <c r="EC75" i="10"/>
  <c r="EB32" i="10"/>
  <c r="EB30" i="10"/>
  <c r="EB28" i="10"/>
  <c r="EB31" i="10"/>
  <c r="EB29" i="10"/>
  <c r="EB18" i="10"/>
  <c r="EB20" i="10"/>
  <c r="ED50" i="10"/>
  <c r="EC49" i="10"/>
  <c r="EB16" i="10"/>
  <c r="EE44" i="10"/>
  <c r="EF82" i="10" s="1"/>
  <c r="EE43" i="10"/>
  <c r="EF81" i="10" s="1"/>
  <c r="EE41" i="10"/>
  <c r="EF79" i="10" s="1"/>
  <c r="EE42" i="10"/>
  <c r="EF80" i="10" s="1"/>
  <c r="EE40" i="10"/>
  <c r="EF78" i="10" s="1"/>
  <c r="EE37" i="10"/>
  <c r="EF38" i="10"/>
  <c r="EB17" i="10"/>
  <c r="EA34" i="10"/>
  <c r="EA22" i="10"/>
  <c r="EA71" i="10" s="1"/>
  <c r="EC15" i="10"/>
  <c r="EC63" i="10"/>
  <c r="EC77" i="10"/>
  <c r="EC51" i="10"/>
  <c r="EC39" i="10"/>
  <c r="EC27" i="10"/>
  <c r="ED62" i="10"/>
  <c r="EC61" i="10"/>
  <c r="EB19" i="10"/>
  <c r="EF26" i="10"/>
  <c r="EE25" i="10"/>
  <c r="ED14" i="10"/>
  <c r="EC13" i="10"/>
  <c r="EC19" i="10" s="1"/>
  <c r="EA72" i="10" l="1"/>
  <c r="EC16" i="10"/>
  <c r="EF84" i="10"/>
  <c r="EC55" i="10"/>
  <c r="EC67" i="10"/>
  <c r="EB56" i="10"/>
  <c r="EB68" i="10"/>
  <c r="EC52" i="10"/>
  <c r="EC64" i="10"/>
  <c r="EB55" i="10"/>
  <c r="EB67" i="10"/>
  <c r="EB54" i="10"/>
  <c r="EB66" i="10"/>
  <c r="EC20" i="10"/>
  <c r="EB53" i="10"/>
  <c r="EB65" i="10"/>
  <c r="EB52" i="10"/>
  <c r="EB64" i="10"/>
  <c r="EA70" i="10"/>
  <c r="EC18" i="10"/>
  <c r="EC17" i="10"/>
  <c r="EB34" i="10"/>
  <c r="ED15" i="10"/>
  <c r="ED77" i="10"/>
  <c r="ED51" i="10"/>
  <c r="ED63" i="10"/>
  <c r="ED39" i="10"/>
  <c r="ED27" i="10"/>
  <c r="EE62" i="10"/>
  <c r="ED61" i="10"/>
  <c r="EE50" i="10"/>
  <c r="ED49" i="10"/>
  <c r="EF42" i="10"/>
  <c r="EG80" i="10" s="1"/>
  <c r="EF41" i="10"/>
  <c r="EG79" i="10" s="1"/>
  <c r="EF44" i="10"/>
  <c r="EG82" i="10" s="1"/>
  <c r="EF43" i="10"/>
  <c r="EG81" i="10" s="1"/>
  <c r="EF40" i="10"/>
  <c r="EG78" i="10" s="1"/>
  <c r="EG38" i="10"/>
  <c r="EF37" i="10"/>
  <c r="EC32" i="10"/>
  <c r="EC29" i="10"/>
  <c r="EC30" i="10"/>
  <c r="EC28" i="10"/>
  <c r="EC31" i="10"/>
  <c r="EE76" i="10"/>
  <c r="ED75" i="10"/>
  <c r="EG26" i="10"/>
  <c r="EF25" i="10"/>
  <c r="EE14" i="10"/>
  <c r="ED13" i="10"/>
  <c r="ED17" i="10" s="1"/>
  <c r="EB22" i="10"/>
  <c r="EB71" i="10" s="1"/>
  <c r="EG84" i="10" l="1"/>
  <c r="EB72" i="10"/>
  <c r="EB58" i="10"/>
  <c r="EC56" i="10"/>
  <c r="EC68" i="10"/>
  <c r="EC53" i="10"/>
  <c r="EC65" i="10"/>
  <c r="EB70" i="10"/>
  <c r="ED53" i="10"/>
  <c r="ED65" i="10"/>
  <c r="EC54" i="10"/>
  <c r="EC66" i="10"/>
  <c r="EF50" i="10"/>
  <c r="EE49" i="10"/>
  <c r="EE61" i="10"/>
  <c r="EF62" i="10"/>
  <c r="ED16" i="10"/>
  <c r="ED31" i="10"/>
  <c r="ED29" i="10"/>
  <c r="ED30" i="10"/>
  <c r="ED28" i="10"/>
  <c r="ED32" i="10"/>
  <c r="ED18" i="10"/>
  <c r="EF76" i="10"/>
  <c r="EE75" i="10"/>
  <c r="ED20" i="10"/>
  <c r="EG41" i="10"/>
  <c r="EH79" i="10" s="1"/>
  <c r="EG42" i="10"/>
  <c r="EH80" i="10" s="1"/>
  <c r="EG44" i="10"/>
  <c r="EH82" i="10" s="1"/>
  <c r="EG43" i="10"/>
  <c r="EH81" i="10" s="1"/>
  <c r="EG40" i="10"/>
  <c r="EH78" i="10" s="1"/>
  <c r="EH38" i="10"/>
  <c r="EG37" i="10"/>
  <c r="EE15" i="10"/>
  <c r="EE27" i="10"/>
  <c r="EE63" i="10"/>
  <c r="EE77" i="10"/>
  <c r="EE51" i="10"/>
  <c r="EE39" i="10"/>
  <c r="EC34" i="10"/>
  <c r="ED19" i="10"/>
  <c r="EH26" i="10"/>
  <c r="EG25" i="10"/>
  <c r="EF14" i="10"/>
  <c r="EE13" i="10"/>
  <c r="EE19" i="10" s="1"/>
  <c r="EC22" i="10"/>
  <c r="EC71" i="10" s="1"/>
  <c r="EH84" i="10" l="1"/>
  <c r="EC72" i="10"/>
  <c r="EC70" i="10"/>
  <c r="ED56" i="10"/>
  <c r="ED68" i="10"/>
  <c r="EE18" i="10"/>
  <c r="EC58" i="10"/>
  <c r="ED55" i="10"/>
  <c r="ED67" i="10"/>
  <c r="ED54" i="10"/>
  <c r="ED66" i="10"/>
  <c r="ED52" i="10"/>
  <c r="ED64" i="10"/>
  <c r="ED72" i="10" s="1"/>
  <c r="EE55" i="10"/>
  <c r="EE67" i="10"/>
  <c r="EE16" i="10"/>
  <c r="EE20" i="10"/>
  <c r="EE17" i="10"/>
  <c r="EF61" i="10"/>
  <c r="EG62" i="10"/>
  <c r="EF15" i="10"/>
  <c r="EF39" i="10"/>
  <c r="EF27" i="10"/>
  <c r="EF63" i="10"/>
  <c r="EF77" i="10"/>
  <c r="EF51" i="10"/>
  <c r="EE29" i="10"/>
  <c r="EE31" i="10"/>
  <c r="EE30" i="10"/>
  <c r="EE28" i="10"/>
  <c r="EE32" i="10"/>
  <c r="ED34" i="10"/>
  <c r="ED22" i="10"/>
  <c r="ED71" i="10" s="1"/>
  <c r="EH42" i="10"/>
  <c r="EI80" i="10" s="1"/>
  <c r="EH41" i="10"/>
  <c r="EI79" i="10" s="1"/>
  <c r="EH44" i="10"/>
  <c r="EI82" i="10" s="1"/>
  <c r="EH43" i="10"/>
  <c r="EI81" i="10" s="1"/>
  <c r="EH40" i="10"/>
  <c r="EI78" i="10" s="1"/>
  <c r="EI38" i="10"/>
  <c r="EH37" i="10"/>
  <c r="EG76" i="10"/>
  <c r="EF75" i="10"/>
  <c r="EG50" i="10"/>
  <c r="EF49" i="10"/>
  <c r="EH25" i="10"/>
  <c r="EI26" i="10"/>
  <c r="EG14" i="10"/>
  <c r="EF13" i="10"/>
  <c r="EF17" i="10" s="1"/>
  <c r="ED58" i="10" l="1"/>
  <c r="EI84" i="10"/>
  <c r="ED70" i="10"/>
  <c r="EF53" i="10"/>
  <c r="EF65" i="10"/>
  <c r="EE53" i="10"/>
  <c r="EE65" i="10"/>
  <c r="EE22" i="10"/>
  <c r="EE71" i="10" s="1"/>
  <c r="EE52" i="10"/>
  <c r="EE64" i="10"/>
  <c r="EE56" i="10"/>
  <c r="EE68" i="10"/>
  <c r="EE54" i="10"/>
  <c r="EE66" i="10"/>
  <c r="EE34" i="10"/>
  <c r="EI43" i="10"/>
  <c r="EJ81" i="10" s="1"/>
  <c r="EI41" i="10"/>
  <c r="EJ79" i="10" s="1"/>
  <c r="EI42" i="10"/>
  <c r="EJ80" i="10" s="1"/>
  <c r="EI44" i="10"/>
  <c r="EJ82" i="10" s="1"/>
  <c r="EI40" i="10"/>
  <c r="EJ78" i="10" s="1"/>
  <c r="EJ38" i="10"/>
  <c r="EI37" i="10"/>
  <c r="EF20" i="10"/>
  <c r="EG75" i="10"/>
  <c r="EH76" i="10"/>
  <c r="EG15" i="10"/>
  <c r="EG39" i="10"/>
  <c r="EG27" i="10"/>
  <c r="EG63" i="10"/>
  <c r="EG77" i="10"/>
  <c r="EG51" i="10"/>
  <c r="EG61" i="10"/>
  <c r="EH62" i="10"/>
  <c r="EH50" i="10"/>
  <c r="EG49" i="10"/>
  <c r="EF29" i="10"/>
  <c r="EF31" i="10"/>
  <c r="EF30" i="10"/>
  <c r="EF28" i="10"/>
  <c r="EF32" i="10"/>
  <c r="EF18" i="10"/>
  <c r="EF16" i="10"/>
  <c r="EF19" i="10"/>
  <c r="EI25" i="10"/>
  <c r="EJ26" i="10"/>
  <c r="EH14" i="10"/>
  <c r="EG13" i="10"/>
  <c r="EG19" i="10" s="1"/>
  <c r="EJ84" i="10" l="1"/>
  <c r="EF55" i="10"/>
  <c r="EF67" i="10"/>
  <c r="EF52" i="10"/>
  <c r="EF64" i="10"/>
  <c r="EF56" i="10"/>
  <c r="EF68" i="10"/>
  <c r="EF54" i="10"/>
  <c r="EF66" i="10"/>
  <c r="EE58" i="10"/>
  <c r="EE72" i="10"/>
  <c r="EE70" i="10"/>
  <c r="EG55" i="10"/>
  <c r="EG67" i="10"/>
  <c r="EF58" i="10"/>
  <c r="EG18" i="10"/>
  <c r="EH15" i="10"/>
  <c r="EH39" i="10"/>
  <c r="EH63" i="10"/>
  <c r="EH77" i="10"/>
  <c r="EH51" i="10"/>
  <c r="EH27" i="10"/>
  <c r="EG16" i="10"/>
  <c r="EG64" i="10" s="1"/>
  <c r="EF34" i="10"/>
  <c r="EG20" i="10"/>
  <c r="EI62" i="10"/>
  <c r="EH61" i="10"/>
  <c r="EI76" i="10"/>
  <c r="EH75" i="10"/>
  <c r="EG29" i="10"/>
  <c r="EG31" i="10"/>
  <c r="EG32" i="10"/>
  <c r="EG30" i="10"/>
  <c r="EG28" i="10"/>
  <c r="EF22" i="10"/>
  <c r="EF71" i="10" s="1"/>
  <c r="EJ44" i="10"/>
  <c r="EK82" i="10" s="1"/>
  <c r="EJ40" i="10"/>
  <c r="EK78" i="10" s="1"/>
  <c r="EJ43" i="10"/>
  <c r="EK81" i="10" s="1"/>
  <c r="EJ41" i="10"/>
  <c r="EK79" i="10" s="1"/>
  <c r="EJ42" i="10"/>
  <c r="EK80" i="10" s="1"/>
  <c r="EJ37" i="10"/>
  <c r="EK38" i="10"/>
  <c r="EI50" i="10"/>
  <c r="EH49" i="10"/>
  <c r="EG17" i="10"/>
  <c r="EJ25" i="10"/>
  <c r="EK26" i="10"/>
  <c r="EI14" i="10"/>
  <c r="EH13" i="10"/>
  <c r="EH16" i="10" s="1"/>
  <c r="EK84" i="10" l="1"/>
  <c r="EG54" i="10"/>
  <c r="EG66" i="10"/>
  <c r="EG53" i="10"/>
  <c r="EG65" i="10"/>
  <c r="EG56" i="10"/>
  <c r="EG68" i="10"/>
  <c r="EF72" i="10"/>
  <c r="EH52" i="10"/>
  <c r="EH64" i="10"/>
  <c r="EG72" i="10"/>
  <c r="EF70" i="10"/>
  <c r="EH18" i="10"/>
  <c r="EH29" i="10"/>
  <c r="EH30" i="10"/>
  <c r="EH32" i="10"/>
  <c r="EH28" i="10"/>
  <c r="EH31" i="10"/>
  <c r="EI75" i="10"/>
  <c r="EJ76" i="10"/>
  <c r="EJ62" i="10"/>
  <c r="EI61" i="10"/>
  <c r="EG34" i="10"/>
  <c r="EG52" i="10"/>
  <c r="EG58" i="10" s="1"/>
  <c r="EG22" i="10"/>
  <c r="EG71" i="10" s="1"/>
  <c r="EH19" i="10"/>
  <c r="EI15" i="10"/>
  <c r="EI51" i="10"/>
  <c r="EI39" i="10"/>
  <c r="EI63" i="10"/>
  <c r="EI77" i="10"/>
  <c r="EI27" i="10"/>
  <c r="EK44" i="10"/>
  <c r="EL82" i="10" s="1"/>
  <c r="EK43" i="10"/>
  <c r="EL81" i="10" s="1"/>
  <c r="EK41" i="10"/>
  <c r="EL79" i="10" s="1"/>
  <c r="EK42" i="10"/>
  <c r="EL80" i="10" s="1"/>
  <c r="EK40" i="10"/>
  <c r="EL78" i="10" s="1"/>
  <c r="EL38" i="10"/>
  <c r="EK37" i="10"/>
  <c r="EH20" i="10"/>
  <c r="EH17" i="10"/>
  <c r="EJ50" i="10"/>
  <c r="EI49" i="10"/>
  <c r="EL26" i="10"/>
  <c r="EK25" i="10"/>
  <c r="EJ14" i="10"/>
  <c r="EI13" i="10"/>
  <c r="EI16" i="10" s="1"/>
  <c r="EL84" i="10" l="1"/>
  <c r="EI52" i="10"/>
  <c r="EI64" i="10"/>
  <c r="EH54" i="10"/>
  <c r="EH66" i="10"/>
  <c r="EG70" i="10"/>
  <c r="EH55" i="10"/>
  <c r="EH67" i="10"/>
  <c r="EH53" i="10"/>
  <c r="EH65" i="10"/>
  <c r="EH56" i="10"/>
  <c r="EH68" i="10"/>
  <c r="EH58" i="10"/>
  <c r="EH22" i="10"/>
  <c r="EH71" i="10" s="1"/>
  <c r="EI19" i="10"/>
  <c r="EJ15" i="10"/>
  <c r="EJ51" i="10"/>
  <c r="EJ39" i="10"/>
  <c r="EJ77" i="10"/>
  <c r="EJ63" i="10"/>
  <c r="EJ27" i="10"/>
  <c r="EI20" i="10"/>
  <c r="EK76" i="10"/>
  <c r="EJ75" i="10"/>
  <c r="EI17" i="10"/>
  <c r="EL44" i="10"/>
  <c r="EM82" i="10" s="1"/>
  <c r="EL43" i="10"/>
  <c r="EM81" i="10" s="1"/>
  <c r="EL41" i="10"/>
  <c r="EM79" i="10" s="1"/>
  <c r="EL42" i="10"/>
  <c r="EM80" i="10" s="1"/>
  <c r="EL40" i="10"/>
  <c r="EM78" i="10" s="1"/>
  <c r="EM38" i="10"/>
  <c r="EL37" i="10"/>
  <c r="EJ61" i="10"/>
  <c r="EK62" i="10"/>
  <c r="EH34" i="10"/>
  <c r="EI29" i="10"/>
  <c r="EI30" i="10"/>
  <c r="EI32" i="10"/>
  <c r="EI28" i="10"/>
  <c r="EI31" i="10"/>
  <c r="EI18" i="10"/>
  <c r="EK50" i="10"/>
  <c r="EJ49" i="10"/>
  <c r="EM26" i="10"/>
  <c r="EL25" i="10"/>
  <c r="EK14" i="10"/>
  <c r="EJ13" i="10"/>
  <c r="EJ19" i="10" s="1"/>
  <c r="EM84" i="10" l="1"/>
  <c r="EH72" i="10"/>
  <c r="EH70" i="10" s="1"/>
  <c r="EI53" i="10"/>
  <c r="EI65" i="10"/>
  <c r="EI56" i="10"/>
  <c r="EI68" i="10"/>
  <c r="EJ55" i="10"/>
  <c r="EJ67" i="10"/>
  <c r="EI54" i="10"/>
  <c r="EI66" i="10"/>
  <c r="EI55" i="10"/>
  <c r="EI67" i="10"/>
  <c r="EJ17" i="10"/>
  <c r="EI22" i="10"/>
  <c r="EI71" i="10" s="1"/>
  <c r="EJ16" i="10"/>
  <c r="EK49" i="10"/>
  <c r="EL50" i="10"/>
  <c r="EK61" i="10"/>
  <c r="EL62" i="10"/>
  <c r="EL76" i="10"/>
  <c r="EK75" i="10"/>
  <c r="EJ18" i="10"/>
  <c r="EK15" i="10"/>
  <c r="EK39" i="10"/>
  <c r="EK27" i="10"/>
  <c r="EK63" i="10"/>
  <c r="EK77" i="10"/>
  <c r="EK51" i="10"/>
  <c r="EJ29" i="10"/>
  <c r="EJ30" i="10"/>
  <c r="EJ32" i="10"/>
  <c r="EJ31" i="10"/>
  <c r="EJ28" i="10"/>
  <c r="EI34" i="10"/>
  <c r="EJ20" i="10"/>
  <c r="EM44" i="10"/>
  <c r="EN82" i="10" s="1"/>
  <c r="EM43" i="10"/>
  <c r="EN81" i="10" s="1"/>
  <c r="EM42" i="10"/>
  <c r="EN80" i="10" s="1"/>
  <c r="EM40" i="10"/>
  <c r="EN78" i="10" s="1"/>
  <c r="EM41" i="10"/>
  <c r="EN79" i="10" s="1"/>
  <c r="EM37" i="10"/>
  <c r="EN38" i="10"/>
  <c r="EN26" i="10"/>
  <c r="EM25" i="10"/>
  <c r="EL14" i="10"/>
  <c r="EK13" i="10"/>
  <c r="EK20" i="10" s="1"/>
  <c r="EI72" i="10" l="1"/>
  <c r="EI70" i="10"/>
  <c r="EN84" i="10"/>
  <c r="EJ52" i="10"/>
  <c r="EJ64" i="10"/>
  <c r="EJ53" i="10"/>
  <c r="EJ65" i="10"/>
  <c r="EJ54" i="10"/>
  <c r="EJ66" i="10"/>
  <c r="EK56" i="10"/>
  <c r="EK68" i="10"/>
  <c r="EJ56" i="10"/>
  <c r="EJ58" i="10" s="1"/>
  <c r="EJ68" i="10"/>
  <c r="EI58" i="10"/>
  <c r="EJ22" i="10"/>
  <c r="EJ71" i="10" s="1"/>
  <c r="EK18" i="10"/>
  <c r="EL61" i="10"/>
  <c r="EM62" i="10"/>
  <c r="EK19" i="10"/>
  <c r="EJ34" i="10"/>
  <c r="EM50" i="10"/>
  <c r="EL49" i="10"/>
  <c r="EL75" i="10"/>
  <c r="EM76" i="10"/>
  <c r="EK29" i="10"/>
  <c r="EK30" i="10"/>
  <c r="EK32" i="10"/>
  <c r="EK28" i="10"/>
  <c r="EK31" i="10"/>
  <c r="EL15" i="10"/>
  <c r="EL39" i="10"/>
  <c r="EL63" i="10"/>
  <c r="EL27" i="10"/>
  <c r="EL77" i="10"/>
  <c r="EL51" i="10"/>
  <c r="EK17" i="10"/>
  <c r="EK16" i="10"/>
  <c r="EN43" i="10"/>
  <c r="EO81" i="10" s="1"/>
  <c r="EN42" i="10"/>
  <c r="EO80" i="10" s="1"/>
  <c r="EN40" i="10"/>
  <c r="EO78" i="10" s="1"/>
  <c r="EN44" i="10"/>
  <c r="EO82" i="10" s="1"/>
  <c r="EN41" i="10"/>
  <c r="EO79" i="10" s="1"/>
  <c r="EO38" i="10"/>
  <c r="EN37" i="10"/>
  <c r="EN25" i="10"/>
  <c r="EO26" i="10"/>
  <c r="EM14" i="10"/>
  <c r="EL13" i="10"/>
  <c r="EL18" i="10" s="1"/>
  <c r="EO84" i="10" l="1"/>
  <c r="EK55" i="10"/>
  <c r="EK67" i="10"/>
  <c r="EK54" i="10"/>
  <c r="EK66" i="10"/>
  <c r="EL54" i="10"/>
  <c r="EL66" i="10"/>
  <c r="EK52" i="10"/>
  <c r="EK64" i="10"/>
  <c r="EJ72" i="10"/>
  <c r="EJ70" i="10" s="1"/>
  <c r="EK53" i="10"/>
  <c r="EK65" i="10"/>
  <c r="EK22" i="10"/>
  <c r="EK71" i="10" s="1"/>
  <c r="EM15" i="10"/>
  <c r="EM39" i="10"/>
  <c r="EM51" i="10"/>
  <c r="EM27" i="10"/>
  <c r="EM77" i="10"/>
  <c r="EM63" i="10"/>
  <c r="EL29" i="10"/>
  <c r="EL30" i="10"/>
  <c r="EL32" i="10"/>
  <c r="EL31" i="10"/>
  <c r="EL28" i="10"/>
  <c r="EM75" i="10"/>
  <c r="EN76" i="10"/>
  <c r="EL19" i="10"/>
  <c r="EN62" i="10"/>
  <c r="EM61" i="10"/>
  <c r="EL17" i="10"/>
  <c r="EL20" i="10"/>
  <c r="EK34" i="10"/>
  <c r="EM49" i="10"/>
  <c r="EN50" i="10"/>
  <c r="EO43" i="10"/>
  <c r="EP81" i="10" s="1"/>
  <c r="EO42" i="10"/>
  <c r="EP80" i="10" s="1"/>
  <c r="EO40" i="10"/>
  <c r="EP78" i="10" s="1"/>
  <c r="EO44" i="10"/>
  <c r="EP82" i="10" s="1"/>
  <c r="EO41" i="10"/>
  <c r="EP79" i="10" s="1"/>
  <c r="EP38" i="10"/>
  <c r="EO37" i="10"/>
  <c r="EL16" i="10"/>
  <c r="EO25" i="10"/>
  <c r="EP26" i="10"/>
  <c r="EN14" i="10"/>
  <c r="EM13" i="10"/>
  <c r="EM20" i="10" s="1"/>
  <c r="EP84" i="10" l="1"/>
  <c r="EL34" i="10"/>
  <c r="EL56" i="10"/>
  <c r="EL68" i="10"/>
  <c r="EL53" i="10"/>
  <c r="EL65" i="10"/>
  <c r="EL55" i="10"/>
  <c r="EL67" i="10"/>
  <c r="EK72" i="10"/>
  <c r="EL52" i="10"/>
  <c r="EL64" i="10"/>
  <c r="EL72" i="10" s="1"/>
  <c r="EM19" i="10"/>
  <c r="EM56" i="10"/>
  <c r="EM68" i="10"/>
  <c r="EK70" i="10"/>
  <c r="EK58" i="10"/>
  <c r="EL22" i="10"/>
  <c r="EL71" i="10" s="1"/>
  <c r="EP43" i="10"/>
  <c r="EQ81" i="10" s="1"/>
  <c r="EP42" i="10"/>
  <c r="EQ80" i="10" s="1"/>
  <c r="EP40" i="10"/>
  <c r="EQ78" i="10" s="1"/>
  <c r="EP44" i="10"/>
  <c r="EQ82" i="10" s="1"/>
  <c r="EP41" i="10"/>
  <c r="EQ79" i="10" s="1"/>
  <c r="EP37" i="10"/>
  <c r="EQ38" i="10"/>
  <c r="EM28" i="10"/>
  <c r="EM29" i="10"/>
  <c r="EM30" i="10"/>
  <c r="EM32" i="10"/>
  <c r="EM31" i="10"/>
  <c r="EO50" i="10"/>
  <c r="EN49" i="10"/>
  <c r="EO62" i="10"/>
  <c r="EN61" i="10"/>
  <c r="EM17" i="10"/>
  <c r="EM18" i="10"/>
  <c r="EM16" i="10"/>
  <c r="EO76" i="10"/>
  <c r="EN75" i="10"/>
  <c r="EN15" i="10"/>
  <c r="EN39" i="10"/>
  <c r="EN51" i="10"/>
  <c r="EN27" i="10"/>
  <c r="EN77" i="10"/>
  <c r="EN63" i="10"/>
  <c r="EP25" i="10"/>
  <c r="EQ26" i="10"/>
  <c r="EO14" i="10"/>
  <c r="EN13" i="10"/>
  <c r="EN17" i="10" s="1"/>
  <c r="EL58" i="10" l="1"/>
  <c r="EQ84" i="10"/>
  <c r="EL70" i="10"/>
  <c r="EN53" i="10"/>
  <c r="EN65" i="10"/>
  <c r="EM55" i="10"/>
  <c r="EM67" i="10"/>
  <c r="EM52" i="10"/>
  <c r="EM64" i="10"/>
  <c r="EM53" i="10"/>
  <c r="EM65" i="10"/>
  <c r="EM54" i="10"/>
  <c r="EM66" i="10"/>
  <c r="EM22" i="10"/>
  <c r="EM71" i="10" s="1"/>
  <c r="EP76" i="10"/>
  <c r="EO75" i="10"/>
  <c r="EN28" i="10"/>
  <c r="EN29" i="10"/>
  <c r="EN30" i="10"/>
  <c r="EN32" i="10"/>
  <c r="EN31" i="10"/>
  <c r="EN20" i="10"/>
  <c r="EO15" i="10"/>
  <c r="EO77" i="10"/>
  <c r="EO51" i="10"/>
  <c r="EO39" i="10"/>
  <c r="EO27" i="10"/>
  <c r="EO63" i="10"/>
  <c r="EM34" i="10"/>
  <c r="EN19" i="10"/>
  <c r="EN18" i="10"/>
  <c r="EQ40" i="10"/>
  <c r="ER78" i="10" s="1"/>
  <c r="ER84" i="10" s="1"/>
  <c r="EQ44" i="10"/>
  <c r="ER82" i="10" s="1"/>
  <c r="EQ42" i="10"/>
  <c r="ER80" i="10" s="1"/>
  <c r="EQ43" i="10"/>
  <c r="ER81" i="10" s="1"/>
  <c r="EQ41" i="10"/>
  <c r="ER79" i="10" s="1"/>
  <c r="EQ37" i="10"/>
  <c r="ER38" i="10"/>
  <c r="EP62" i="10"/>
  <c r="EO61" i="10"/>
  <c r="EP50" i="10"/>
  <c r="EO49" i="10"/>
  <c r="EN16" i="10"/>
  <c r="ER26" i="10"/>
  <c r="EQ25" i="10"/>
  <c r="EP14" i="10"/>
  <c r="EO13" i="10"/>
  <c r="EM58" i="10" l="1"/>
  <c r="EN55" i="10"/>
  <c r="EN67" i="10"/>
  <c r="EN52" i="10"/>
  <c r="EN64" i="10"/>
  <c r="EN54" i="10"/>
  <c r="EN66" i="10"/>
  <c r="EN56" i="10"/>
  <c r="EN68" i="10"/>
  <c r="EM72" i="10"/>
  <c r="EM70" i="10" s="1"/>
  <c r="EO28" i="10"/>
  <c r="EO29" i="10"/>
  <c r="EO30" i="10"/>
  <c r="EO31" i="10"/>
  <c r="EO32" i="10"/>
  <c r="EP61" i="10"/>
  <c r="EQ62" i="10"/>
  <c r="EP15" i="10"/>
  <c r="EP77" i="10"/>
  <c r="EP39" i="10"/>
  <c r="EP51" i="10"/>
  <c r="EP27" i="10"/>
  <c r="EP63" i="10"/>
  <c r="EO16" i="10"/>
  <c r="EN22" i="10"/>
  <c r="EN71" i="10" s="1"/>
  <c r="EO20" i="10"/>
  <c r="EN34" i="10"/>
  <c r="EQ50" i="10"/>
  <c r="EP49" i="10"/>
  <c r="EO18" i="10"/>
  <c r="EN58" i="10"/>
  <c r="ER42" i="10"/>
  <c r="ES80" i="10" s="1"/>
  <c r="ER40" i="10"/>
  <c r="ES78" i="10" s="1"/>
  <c r="ER44" i="10"/>
  <c r="ES82" i="10" s="1"/>
  <c r="ER43" i="10"/>
  <c r="ES81" i="10" s="1"/>
  <c r="ER41" i="10"/>
  <c r="ES79" i="10" s="1"/>
  <c r="ES38" i="10"/>
  <c r="ER37" i="10"/>
  <c r="EO17" i="10"/>
  <c r="EO19" i="10"/>
  <c r="EP75" i="10"/>
  <c r="EQ76" i="10"/>
  <c r="ES26" i="10"/>
  <c r="ER25" i="10"/>
  <c r="EQ14" i="10"/>
  <c r="EP13" i="10"/>
  <c r="EP19" i="10" s="1"/>
  <c r="ES84" i="10" l="1"/>
  <c r="EP17" i="10"/>
  <c r="EN72" i="10"/>
  <c r="EN70" i="10" s="1"/>
  <c r="EP55" i="10"/>
  <c r="EP67" i="10"/>
  <c r="EO56" i="10"/>
  <c r="EO68" i="10"/>
  <c r="EO53" i="10"/>
  <c r="EO65" i="10"/>
  <c r="EO55" i="10"/>
  <c r="EO67" i="10"/>
  <c r="EO54" i="10"/>
  <c r="EO66" i="10"/>
  <c r="EO52" i="10"/>
  <c r="EO64" i="10"/>
  <c r="EP20" i="10"/>
  <c r="EP16" i="10"/>
  <c r="EP18" i="10"/>
  <c r="ES40" i="10"/>
  <c r="ET78" i="10" s="1"/>
  <c r="ES44" i="10"/>
  <c r="ET82" i="10" s="1"/>
  <c r="ES41" i="10"/>
  <c r="ET79" i="10" s="1"/>
  <c r="ES42" i="10"/>
  <c r="ET80" i="10" s="1"/>
  <c r="ES43" i="10"/>
  <c r="ET81" i="10" s="1"/>
  <c r="ET38" i="10"/>
  <c r="ES37" i="10"/>
  <c r="EQ15" i="10"/>
  <c r="EQ63" i="10"/>
  <c r="EQ77" i="10"/>
  <c r="EQ51" i="10"/>
  <c r="EQ39" i="10"/>
  <c r="EQ27" i="10"/>
  <c r="EQ75" i="10"/>
  <c r="ER76" i="10"/>
  <c r="EQ61" i="10"/>
  <c r="ER62" i="10"/>
  <c r="EO22" i="10"/>
  <c r="EO71" i="10" s="1"/>
  <c r="EQ49" i="10"/>
  <c r="ER50" i="10"/>
  <c r="EP32" i="10"/>
  <c r="EP28" i="10"/>
  <c r="EP29" i="10"/>
  <c r="EP30" i="10"/>
  <c r="EP31" i="10"/>
  <c r="EO34" i="10"/>
  <c r="ET26" i="10"/>
  <c r="ES25" i="10"/>
  <c r="ER14" i="10"/>
  <c r="EQ13" i="10"/>
  <c r="EQ19" i="10" s="1"/>
  <c r="EO72" i="10" l="1"/>
  <c r="EO58" i="10"/>
  <c r="ET84" i="10"/>
  <c r="EP52" i="10"/>
  <c r="EP64" i="10"/>
  <c r="EP22" i="10"/>
  <c r="EP71" i="10" s="1"/>
  <c r="EP56" i="10"/>
  <c r="EP68" i="10"/>
  <c r="EQ55" i="10"/>
  <c r="EQ67" i="10"/>
  <c r="EO70" i="10"/>
  <c r="EP54" i="10"/>
  <c r="EP66" i="10"/>
  <c r="EP53" i="10"/>
  <c r="EP65" i="10"/>
  <c r="EQ32" i="10"/>
  <c r="EQ29" i="10"/>
  <c r="EQ31" i="10"/>
  <c r="EQ30" i="10"/>
  <c r="EQ28" i="10"/>
  <c r="EQ16" i="10"/>
  <c r="ES76" i="10"/>
  <c r="ER75" i="10"/>
  <c r="EP34" i="10"/>
  <c r="ER15" i="10"/>
  <c r="ER63" i="10"/>
  <c r="ER51" i="10"/>
  <c r="ER39" i="10"/>
  <c r="ER27" i="10"/>
  <c r="ER77" i="10"/>
  <c r="EQ20" i="10"/>
  <c r="ER49" i="10"/>
  <c r="ES50" i="10"/>
  <c r="ER61" i="10"/>
  <c r="ES62" i="10"/>
  <c r="EQ17" i="10"/>
  <c r="ET40" i="10"/>
  <c r="EU78" i="10" s="1"/>
  <c r="ET44" i="10"/>
  <c r="EU82" i="10" s="1"/>
  <c r="ET41" i="10"/>
  <c r="EU79" i="10" s="1"/>
  <c r="ET43" i="10"/>
  <c r="EU81" i="10" s="1"/>
  <c r="ET42" i="10"/>
  <c r="EU80" i="10" s="1"/>
  <c r="EU38" i="10"/>
  <c r="ET37" i="10"/>
  <c r="EQ18" i="10"/>
  <c r="EU26" i="10"/>
  <c r="ET25" i="10"/>
  <c r="ES14" i="10"/>
  <c r="ER13" i="10"/>
  <c r="ER19" i="10" s="1"/>
  <c r="EU84" i="10" l="1"/>
  <c r="EQ56" i="10"/>
  <c r="EQ68" i="10"/>
  <c r="EQ54" i="10"/>
  <c r="EQ66" i="10"/>
  <c r="ER55" i="10"/>
  <c r="ER67" i="10"/>
  <c r="EQ52" i="10"/>
  <c r="EQ64" i="10"/>
  <c r="EP72" i="10"/>
  <c r="EP70" i="10" s="1"/>
  <c r="EQ53" i="10"/>
  <c r="EQ65" i="10"/>
  <c r="EQ34" i="10"/>
  <c r="EP58" i="10"/>
  <c r="EQ22" i="10"/>
  <c r="EQ71" i="10" s="1"/>
  <c r="EQ58" i="10"/>
  <c r="EU44" i="10"/>
  <c r="EV82" i="10" s="1"/>
  <c r="EU41" i="10"/>
  <c r="EV79" i="10" s="1"/>
  <c r="EU43" i="10"/>
  <c r="EV81" i="10" s="1"/>
  <c r="EU42" i="10"/>
  <c r="EV80" i="10" s="1"/>
  <c r="EU40" i="10"/>
  <c r="EV78" i="10" s="1"/>
  <c r="EV38" i="10"/>
  <c r="EU37" i="10"/>
  <c r="ER16" i="10"/>
  <c r="ET76" i="10"/>
  <c r="ES75" i="10"/>
  <c r="ET62" i="10"/>
  <c r="ES61" i="10"/>
  <c r="ES15" i="10"/>
  <c r="ES63" i="10"/>
  <c r="ES77" i="10"/>
  <c r="ES51" i="10"/>
  <c r="ES39" i="10"/>
  <c r="ES27" i="10"/>
  <c r="ER18" i="10"/>
  <c r="ER32" i="10"/>
  <c r="ER29" i="10"/>
  <c r="ER31" i="10"/>
  <c r="ER30" i="10"/>
  <c r="ER28" i="10"/>
  <c r="ER20" i="10"/>
  <c r="ET50" i="10"/>
  <c r="ES49" i="10"/>
  <c r="ER17" i="10"/>
  <c r="EV26" i="10"/>
  <c r="EU25" i="10"/>
  <c r="ET14" i="10"/>
  <c r="ES13" i="10"/>
  <c r="ER34" i="10" l="1"/>
  <c r="EV84" i="10"/>
  <c r="ER53" i="10"/>
  <c r="ER65" i="10"/>
  <c r="EQ72" i="10"/>
  <c r="ER54" i="10"/>
  <c r="ER66" i="10"/>
  <c r="EQ70" i="10"/>
  <c r="ER56" i="10"/>
  <c r="ER68" i="10"/>
  <c r="ER52" i="10"/>
  <c r="ER64" i="10"/>
  <c r="ES32" i="10"/>
  <c r="ES29" i="10"/>
  <c r="ES31" i="10"/>
  <c r="ES30" i="10"/>
  <c r="ES28" i="10"/>
  <c r="ES16" i="10"/>
  <c r="ES20" i="10"/>
  <c r="ES17" i="10"/>
  <c r="EU50" i="10"/>
  <c r="ET49" i="10"/>
  <c r="ET75" i="10"/>
  <c r="EU76" i="10"/>
  <c r="EU62" i="10"/>
  <c r="ET61" i="10"/>
  <c r="ES19" i="10"/>
  <c r="EV44" i="10"/>
  <c r="EW82" i="10" s="1"/>
  <c r="EV41" i="10"/>
  <c r="EW79" i="10" s="1"/>
  <c r="EV43" i="10"/>
  <c r="EW81" i="10" s="1"/>
  <c r="EV42" i="10"/>
  <c r="EW80" i="10" s="1"/>
  <c r="EV40" i="10"/>
  <c r="EW78" i="10" s="1"/>
  <c r="EV37" i="10"/>
  <c r="EW38" i="10"/>
  <c r="ET15" i="10"/>
  <c r="ET77" i="10"/>
  <c r="ET51" i="10"/>
  <c r="ET39" i="10"/>
  <c r="ET63" i="10"/>
  <c r="ET27" i="10"/>
  <c r="ES18" i="10"/>
  <c r="EW26" i="10"/>
  <c r="EV25" i="10"/>
  <c r="EU14" i="10"/>
  <c r="ET13" i="10"/>
  <c r="ET20" i="10" s="1"/>
  <c r="ER22" i="10"/>
  <c r="ER71" i="10" s="1"/>
  <c r="ER72" i="10" l="1"/>
  <c r="ER70" i="10" s="1"/>
  <c r="EW84" i="10"/>
  <c r="ES34" i="10"/>
  <c r="ER58" i="10"/>
  <c r="ET56" i="10"/>
  <c r="ET68" i="10"/>
  <c r="ES52" i="10"/>
  <c r="ES64" i="10"/>
  <c r="ES54" i="10"/>
  <c r="ES66" i="10"/>
  <c r="ES53" i="10"/>
  <c r="ES65" i="10"/>
  <c r="ES55" i="10"/>
  <c r="ES67" i="10"/>
  <c r="ES56" i="10"/>
  <c r="ES58" i="10" s="1"/>
  <c r="ES68" i="10"/>
  <c r="ES22" i="10"/>
  <c r="ES71" i="10" s="1"/>
  <c r="ET19" i="10"/>
  <c r="EW41" i="10"/>
  <c r="EX79" i="10" s="1"/>
  <c r="EW44" i="10"/>
  <c r="EX82" i="10" s="1"/>
  <c r="EW42" i="10"/>
  <c r="EX80" i="10" s="1"/>
  <c r="EW43" i="10"/>
  <c r="EX81" i="10" s="1"/>
  <c r="EW40" i="10"/>
  <c r="EX78" i="10" s="1"/>
  <c r="EX38" i="10"/>
  <c r="EW37" i="10"/>
  <c r="EU15" i="10"/>
  <c r="EU27" i="10"/>
  <c r="EU63" i="10"/>
  <c r="EU77" i="10"/>
  <c r="EU51" i="10"/>
  <c r="EU39" i="10"/>
  <c r="ET31" i="10"/>
  <c r="ET28" i="10"/>
  <c r="ET29" i="10"/>
  <c r="ET30" i="10"/>
  <c r="ET32" i="10"/>
  <c r="ET18" i="10"/>
  <c r="EU49" i="10"/>
  <c r="EV50" i="10"/>
  <c r="ET17" i="10"/>
  <c r="EU75" i="10"/>
  <c r="EV76" i="10"/>
  <c r="EV62" i="10"/>
  <c r="EU61" i="10"/>
  <c r="ET16" i="10"/>
  <c r="EW25" i="10"/>
  <c r="EX26" i="10"/>
  <c r="EV14" i="10"/>
  <c r="EU13" i="10"/>
  <c r="EX84" i="10" l="1"/>
  <c r="ET55" i="10"/>
  <c r="ET67" i="10"/>
  <c r="ET52" i="10"/>
  <c r="ET64" i="10"/>
  <c r="ET53" i="10"/>
  <c r="ET65" i="10"/>
  <c r="ES72" i="10"/>
  <c r="ES70" i="10" s="1"/>
  <c r="ET54" i="10"/>
  <c r="ET66" i="10"/>
  <c r="ET34" i="10"/>
  <c r="EU31" i="10"/>
  <c r="EU28" i="10"/>
  <c r="EU29" i="10"/>
  <c r="EU30" i="10"/>
  <c r="EU32" i="10"/>
  <c r="EV49" i="10"/>
  <c r="EW50" i="10"/>
  <c r="EV15" i="10"/>
  <c r="EV27" i="10"/>
  <c r="EV63" i="10"/>
  <c r="EV77" i="10"/>
  <c r="EV39" i="10"/>
  <c r="EV51" i="10"/>
  <c r="EU19" i="10"/>
  <c r="EU17" i="10"/>
  <c r="EX44" i="10"/>
  <c r="EY82" i="10" s="1"/>
  <c r="EX42" i="10"/>
  <c r="EY80" i="10" s="1"/>
  <c r="EX43" i="10"/>
  <c r="EY81" i="10" s="1"/>
  <c r="EX41" i="10"/>
  <c r="EY79" i="10" s="1"/>
  <c r="EX40" i="10"/>
  <c r="EY78" i="10" s="1"/>
  <c r="EY38" i="10"/>
  <c r="EX37" i="10"/>
  <c r="EU20" i="10"/>
  <c r="EU18" i="10"/>
  <c r="EW62" i="10"/>
  <c r="EV61" i="10"/>
  <c r="EV75" i="10"/>
  <c r="EW76" i="10"/>
  <c r="EU16" i="10"/>
  <c r="EX25" i="10"/>
  <c r="EY26" i="10"/>
  <c r="EW14" i="10"/>
  <c r="EV13" i="10"/>
  <c r="EV19" i="10" s="1"/>
  <c r="ET22" i="10"/>
  <c r="ET71" i="10" s="1"/>
  <c r="EY84" i="10" l="1"/>
  <c r="ET58" i="10"/>
  <c r="EU53" i="10"/>
  <c r="EU65" i="10"/>
  <c r="ET72" i="10"/>
  <c r="EV55" i="10"/>
  <c r="EV67" i="10"/>
  <c r="EU55" i="10"/>
  <c r="EU67" i="10"/>
  <c r="EU54" i="10"/>
  <c r="EU66" i="10"/>
  <c r="ET70" i="10"/>
  <c r="EU52" i="10"/>
  <c r="EU64" i="10"/>
  <c r="EU56" i="10"/>
  <c r="EU68" i="10"/>
  <c r="EY44" i="10"/>
  <c r="EZ82" i="10" s="1"/>
  <c r="EY42" i="10"/>
  <c r="EZ80" i="10" s="1"/>
  <c r="EY43" i="10"/>
  <c r="EZ81" i="10" s="1"/>
  <c r="EY41" i="10"/>
  <c r="EZ79" i="10" s="1"/>
  <c r="EY40" i="10"/>
  <c r="EZ78" i="10" s="1"/>
  <c r="EZ38" i="10"/>
  <c r="EY37" i="10"/>
  <c r="EV31" i="10"/>
  <c r="EV28" i="10"/>
  <c r="EV29" i="10"/>
  <c r="EV30" i="10"/>
  <c r="EV32" i="10"/>
  <c r="EV16" i="10"/>
  <c r="EW15" i="10"/>
  <c r="EW27" i="10"/>
  <c r="EW63" i="10"/>
  <c r="EW77" i="10"/>
  <c r="EW39" i="10"/>
  <c r="EW51" i="10"/>
  <c r="EV20" i="10"/>
  <c r="EW61" i="10"/>
  <c r="EX62" i="10"/>
  <c r="EX76" i="10"/>
  <c r="EW75" i="10"/>
  <c r="EU34" i="10"/>
  <c r="EV18" i="10"/>
  <c r="EV17" i="10"/>
  <c r="EW49" i="10"/>
  <c r="EX50" i="10"/>
  <c r="EU22" i="10"/>
  <c r="EU71" i="10" s="1"/>
  <c r="EZ26" i="10"/>
  <c r="EY25" i="10"/>
  <c r="EX14" i="10"/>
  <c r="EW13" i="10"/>
  <c r="EW19" i="10" s="1"/>
  <c r="EZ84" i="10" l="1"/>
  <c r="EU58" i="10"/>
  <c r="EV53" i="10"/>
  <c r="EV65" i="10"/>
  <c r="EU72" i="10"/>
  <c r="EU70" i="10" s="1"/>
  <c r="EV52" i="10"/>
  <c r="EV64" i="10"/>
  <c r="EV56" i="10"/>
  <c r="EV68" i="10"/>
  <c r="EV54" i="10"/>
  <c r="EV66" i="10"/>
  <c r="EW55" i="10"/>
  <c r="EW67" i="10"/>
  <c r="EW20" i="10"/>
  <c r="EV34" i="10"/>
  <c r="EY76" i="10"/>
  <c r="EX75" i="10"/>
  <c r="EW16" i="10"/>
  <c r="EV22" i="10"/>
  <c r="EV71" i="10" s="1"/>
  <c r="EX49" i="10"/>
  <c r="EY50" i="10"/>
  <c r="EX15" i="10"/>
  <c r="EX63" i="10"/>
  <c r="EX77" i="10"/>
  <c r="EX51" i="10"/>
  <c r="EX39" i="10"/>
  <c r="EX27" i="10"/>
  <c r="EW18" i="10"/>
  <c r="EV58" i="10"/>
  <c r="EY62" i="10"/>
  <c r="EX61" i="10"/>
  <c r="EZ44" i="10"/>
  <c r="FA82" i="10" s="1"/>
  <c r="EZ40" i="10"/>
  <c r="FA78" i="10" s="1"/>
  <c r="EZ43" i="10"/>
  <c r="FA81" i="10" s="1"/>
  <c r="EZ41" i="10"/>
  <c r="FA79" i="10" s="1"/>
  <c r="EZ42" i="10"/>
  <c r="FA80" i="10" s="1"/>
  <c r="EZ37" i="10"/>
  <c r="FA38" i="10"/>
  <c r="EW31" i="10"/>
  <c r="EW28" i="10"/>
  <c r="EW29" i="10"/>
  <c r="EW30" i="10"/>
  <c r="EW32" i="10"/>
  <c r="EW17" i="10"/>
  <c r="FA26" i="10"/>
  <c r="EZ25" i="10"/>
  <c r="EY14" i="10"/>
  <c r="EX13" i="10"/>
  <c r="FA84" i="10" l="1"/>
  <c r="EW53" i="10"/>
  <c r="EW65" i="10"/>
  <c r="EW56" i="10"/>
  <c r="EW68" i="10"/>
  <c r="EW54" i="10"/>
  <c r="EW66" i="10"/>
  <c r="EV72" i="10"/>
  <c r="EV70" i="10" s="1"/>
  <c r="EW52" i="10"/>
  <c r="EW58" i="10" s="1"/>
  <c r="EW64" i="10"/>
  <c r="EW72" i="10" s="1"/>
  <c r="EW22" i="10"/>
  <c r="EW71" i="10" s="1"/>
  <c r="EX29" i="10"/>
  <c r="EX30" i="10"/>
  <c r="EX28" i="10"/>
  <c r="EX31" i="10"/>
  <c r="EX32" i="10"/>
  <c r="EZ62" i="10"/>
  <c r="EY61" i="10"/>
  <c r="EX20" i="10"/>
  <c r="EX18" i="10"/>
  <c r="EY75" i="10"/>
  <c r="EZ76" i="10"/>
  <c r="EX16" i="10"/>
  <c r="FA44" i="10"/>
  <c r="FB82" i="10" s="1"/>
  <c r="FA43" i="10"/>
  <c r="FB81" i="10" s="1"/>
  <c r="FA41" i="10"/>
  <c r="FB79" i="10" s="1"/>
  <c r="FA42" i="10"/>
  <c r="FB80" i="10" s="1"/>
  <c r="FA40" i="10"/>
  <c r="FB78" i="10" s="1"/>
  <c r="FB38" i="10"/>
  <c r="FA37" i="10"/>
  <c r="EZ50" i="10"/>
  <c r="EY49" i="10"/>
  <c r="EX19" i="10"/>
  <c r="EX17" i="10"/>
  <c r="EW34" i="10"/>
  <c r="EY15" i="10"/>
  <c r="EY51" i="10"/>
  <c r="EY63" i="10"/>
  <c r="EY39" i="10"/>
  <c r="EY27" i="10"/>
  <c r="EY77" i="10"/>
  <c r="FA25" i="10"/>
  <c r="FB26" i="10"/>
  <c r="EZ14" i="10"/>
  <c r="EY13" i="10"/>
  <c r="EY16" i="10" s="1"/>
  <c r="EW70" i="10" l="1"/>
  <c r="FB84" i="10"/>
  <c r="EX52" i="10"/>
  <c r="EX64" i="10"/>
  <c r="EY52" i="10"/>
  <c r="EY64" i="10"/>
  <c r="EX54" i="10"/>
  <c r="EX66" i="10"/>
  <c r="EX56" i="10"/>
  <c r="EX68" i="10"/>
  <c r="EX53" i="10"/>
  <c r="EX65" i="10"/>
  <c r="EX55" i="10"/>
  <c r="EX67" i="10"/>
  <c r="EX22" i="10"/>
  <c r="EX71" i="10" s="1"/>
  <c r="EY17" i="10"/>
  <c r="EZ75" i="10"/>
  <c r="FA76" i="10"/>
  <c r="FB44" i="10"/>
  <c r="FC82" i="10" s="1"/>
  <c r="FB43" i="10"/>
  <c r="FC81" i="10" s="1"/>
  <c r="FB41" i="10"/>
  <c r="FC79" i="10" s="1"/>
  <c r="FB42" i="10"/>
  <c r="FC80" i="10" s="1"/>
  <c r="FB40" i="10"/>
  <c r="FC78" i="10" s="1"/>
  <c r="FC38" i="10"/>
  <c r="FB37" i="10"/>
  <c r="EY29" i="10"/>
  <c r="EY30" i="10"/>
  <c r="EY28" i="10"/>
  <c r="EY31" i="10"/>
  <c r="EY32" i="10"/>
  <c r="EZ15" i="10"/>
  <c r="EZ51" i="10"/>
  <c r="EZ39" i="10"/>
  <c r="EZ77" i="10"/>
  <c r="EZ63" i="10"/>
  <c r="EZ27" i="10"/>
  <c r="EZ49" i="10"/>
  <c r="FA50" i="10"/>
  <c r="EX34" i="10"/>
  <c r="EY19" i="10"/>
  <c r="EY18" i="10"/>
  <c r="FA62" i="10"/>
  <c r="EZ61" i="10"/>
  <c r="EY20" i="10"/>
  <c r="FB25" i="10"/>
  <c r="FC26" i="10"/>
  <c r="FA14" i="10"/>
  <c r="EZ13" i="10"/>
  <c r="EZ16" i="10" s="1"/>
  <c r="FC84" i="10" l="1"/>
  <c r="EY53" i="10"/>
  <c r="EY65" i="10"/>
  <c r="EZ52" i="10"/>
  <c r="EZ64" i="10"/>
  <c r="EY55" i="10"/>
  <c r="EY67" i="10"/>
  <c r="EY56" i="10"/>
  <c r="EY68" i="10"/>
  <c r="EY54" i="10"/>
  <c r="EY66" i="10"/>
  <c r="EY72" i="10" s="1"/>
  <c r="EX72" i="10"/>
  <c r="EX70" i="10" s="1"/>
  <c r="EX58" i="10"/>
  <c r="EY58" i="10"/>
  <c r="EY22" i="10"/>
  <c r="EY71" i="10" s="1"/>
  <c r="EZ19" i="10"/>
  <c r="EY34" i="10"/>
  <c r="FB50" i="10"/>
  <c r="FA49" i="10"/>
  <c r="FB76" i="10"/>
  <c r="FA75" i="10"/>
  <c r="EZ20" i="10"/>
  <c r="EZ29" i="10"/>
  <c r="EZ30" i="10"/>
  <c r="EZ28" i="10"/>
  <c r="EZ31" i="10"/>
  <c r="EZ32" i="10"/>
  <c r="EZ17" i="10"/>
  <c r="EZ18" i="10"/>
  <c r="FC44" i="10"/>
  <c r="FD82" i="10" s="1"/>
  <c r="FC43" i="10"/>
  <c r="FD81" i="10" s="1"/>
  <c r="FC41" i="10"/>
  <c r="FD79" i="10" s="1"/>
  <c r="FC42" i="10"/>
  <c r="FD80" i="10" s="1"/>
  <c r="FC40" i="10"/>
  <c r="FD78" i="10" s="1"/>
  <c r="FD38" i="10"/>
  <c r="FC37" i="10"/>
  <c r="FA61" i="10"/>
  <c r="FB62" i="10"/>
  <c r="FA15" i="10"/>
  <c r="FA39" i="10"/>
  <c r="FA63" i="10"/>
  <c r="FA51" i="10"/>
  <c r="FA77" i="10"/>
  <c r="FA27" i="10"/>
  <c r="FD26" i="10"/>
  <c r="FC25" i="10"/>
  <c r="FB14" i="10"/>
  <c r="FA13" i="10"/>
  <c r="FD84" i="10" l="1"/>
  <c r="EY70" i="10"/>
  <c r="EZ53" i="10"/>
  <c r="EZ65" i="10"/>
  <c r="EZ54" i="10"/>
  <c r="EZ66" i="10"/>
  <c r="EZ56" i="10"/>
  <c r="EZ68" i="10"/>
  <c r="EZ55" i="10"/>
  <c r="EZ67" i="10"/>
  <c r="EZ58" i="10"/>
  <c r="EZ22" i="10"/>
  <c r="EZ71" i="10" s="1"/>
  <c r="FA29" i="10"/>
  <c r="FA30" i="10"/>
  <c r="FA32" i="10"/>
  <c r="FA28" i="10"/>
  <c r="FA31" i="10"/>
  <c r="FA20" i="10"/>
  <c r="FA18" i="10"/>
  <c r="FC50" i="10"/>
  <c r="FB49" i="10"/>
  <c r="EZ34" i="10"/>
  <c r="FA16" i="10"/>
  <c r="FB15" i="10"/>
  <c r="FB39" i="10"/>
  <c r="FB63" i="10"/>
  <c r="FB51" i="10"/>
  <c r="FB77" i="10"/>
  <c r="FB27" i="10"/>
  <c r="FB61" i="10"/>
  <c r="FC62" i="10"/>
  <c r="FD43" i="10"/>
  <c r="FE81" i="10" s="1"/>
  <c r="FD44" i="10"/>
  <c r="FE82" i="10" s="1"/>
  <c r="FD42" i="10"/>
  <c r="FE80" i="10" s="1"/>
  <c r="FD40" i="10"/>
  <c r="FE78" i="10" s="1"/>
  <c r="FD41" i="10"/>
  <c r="FE79" i="10" s="1"/>
  <c r="FD37" i="10"/>
  <c r="FE38" i="10"/>
  <c r="FB75" i="10"/>
  <c r="FC76" i="10"/>
  <c r="FA19" i="10"/>
  <c r="FA17" i="10"/>
  <c r="FD25" i="10"/>
  <c r="FE26" i="10"/>
  <c r="FC14" i="10"/>
  <c r="FB13" i="10"/>
  <c r="FB17" i="10" s="1"/>
  <c r="EZ72" i="10" l="1"/>
  <c r="FE84" i="10"/>
  <c r="FB53" i="10"/>
  <c r="FB65" i="10"/>
  <c r="EZ70" i="10"/>
  <c r="FA55" i="10"/>
  <c r="FA67" i="10"/>
  <c r="FA53" i="10"/>
  <c r="FA65" i="10"/>
  <c r="FA52" i="10"/>
  <c r="FA64" i="10"/>
  <c r="FA54" i="10"/>
  <c r="FA66" i="10"/>
  <c r="FA56" i="10"/>
  <c r="FA68" i="10"/>
  <c r="FB19" i="10"/>
  <c r="FB20" i="10"/>
  <c r="FC61" i="10"/>
  <c r="FD62" i="10"/>
  <c r="FE43" i="10"/>
  <c r="FF81" i="10" s="1"/>
  <c r="FE42" i="10"/>
  <c r="FF80" i="10" s="1"/>
  <c r="FE40" i="10"/>
  <c r="FF78" i="10" s="1"/>
  <c r="FE44" i="10"/>
  <c r="FF82" i="10" s="1"/>
  <c r="FE41" i="10"/>
  <c r="FF79" i="10" s="1"/>
  <c r="FE37" i="10"/>
  <c r="FF38" i="10"/>
  <c r="FA22" i="10"/>
  <c r="FA71" i="10" s="1"/>
  <c r="FA34" i="10"/>
  <c r="FB29" i="10"/>
  <c r="FB30" i="10"/>
  <c r="FB32" i="10"/>
  <c r="FB28" i="10"/>
  <c r="FB31" i="10"/>
  <c r="FB16" i="10"/>
  <c r="FB18" i="10"/>
  <c r="FC49" i="10"/>
  <c r="FD50" i="10"/>
  <c r="FD76" i="10"/>
  <c r="FC75" i="10"/>
  <c r="FC15" i="10"/>
  <c r="FC39" i="10"/>
  <c r="FC63" i="10"/>
  <c r="FC27" i="10"/>
  <c r="FC51" i="10"/>
  <c r="FC77" i="10"/>
  <c r="FE25" i="10"/>
  <c r="FF26" i="10"/>
  <c r="FD14" i="10"/>
  <c r="FC13" i="10"/>
  <c r="FA58" i="10" l="1"/>
  <c r="FF84" i="10"/>
  <c r="FB56" i="10"/>
  <c r="FB68" i="10"/>
  <c r="FB55" i="10"/>
  <c r="FB67" i="10"/>
  <c r="FA72" i="10"/>
  <c r="FA70" i="10" s="1"/>
  <c r="FB54" i="10"/>
  <c r="FB66" i="10"/>
  <c r="FB52" i="10"/>
  <c r="FB58" i="10" s="1"/>
  <c r="FB64" i="10"/>
  <c r="FB22" i="10"/>
  <c r="FB71" i="10" s="1"/>
  <c r="FC28" i="10"/>
  <c r="FC29" i="10"/>
  <c r="FC30" i="10"/>
  <c r="FC32" i="10"/>
  <c r="FC31" i="10"/>
  <c r="FC16" i="10"/>
  <c r="FE50" i="10"/>
  <c r="FD49" i="10"/>
  <c r="FC18" i="10"/>
  <c r="FE62" i="10"/>
  <c r="FD61" i="10"/>
  <c r="FD15" i="10"/>
  <c r="FD39" i="10"/>
  <c r="FD27" i="10"/>
  <c r="FD63" i="10"/>
  <c r="FD51" i="10"/>
  <c r="FD77" i="10"/>
  <c r="FC19" i="10"/>
  <c r="FC17" i="10"/>
  <c r="FE76" i="10"/>
  <c r="FD75" i="10"/>
  <c r="FF43" i="10"/>
  <c r="FG81" i="10" s="1"/>
  <c r="FF42" i="10"/>
  <c r="FG80" i="10" s="1"/>
  <c r="FF40" i="10"/>
  <c r="FG78" i="10" s="1"/>
  <c r="FF41" i="10"/>
  <c r="FG79" i="10" s="1"/>
  <c r="FF44" i="10"/>
  <c r="FG82" i="10" s="1"/>
  <c r="FF37" i="10"/>
  <c r="FG38" i="10"/>
  <c r="FC20" i="10"/>
  <c r="FB34" i="10"/>
  <c r="FF25" i="10"/>
  <c r="FG26" i="10"/>
  <c r="FE14" i="10"/>
  <c r="FD13" i="10"/>
  <c r="FD20" i="10" s="1"/>
  <c r="FB72" i="10" l="1"/>
  <c r="FB70" i="10" s="1"/>
  <c r="FG84" i="10"/>
  <c r="FC53" i="10"/>
  <c r="FC65" i="10"/>
  <c r="FC54" i="10"/>
  <c r="FC66" i="10"/>
  <c r="FD56" i="10"/>
  <c r="FD68" i="10"/>
  <c r="FC55" i="10"/>
  <c r="FC67" i="10"/>
  <c r="FC56" i="10"/>
  <c r="FC68" i="10"/>
  <c r="FC52" i="10"/>
  <c r="FC64" i="10"/>
  <c r="FD16" i="10"/>
  <c r="FD19" i="10"/>
  <c r="FC22" i="10"/>
  <c r="FC71" i="10" s="1"/>
  <c r="FD17" i="10"/>
  <c r="FD18" i="10"/>
  <c r="FE15" i="10"/>
  <c r="FE51" i="10"/>
  <c r="FE77" i="10"/>
  <c r="FE39" i="10"/>
  <c r="FE27" i="10"/>
  <c r="FE63" i="10"/>
  <c r="FE49" i="10"/>
  <c r="FF50" i="10"/>
  <c r="FF76" i="10"/>
  <c r="FE75" i="10"/>
  <c r="FF62" i="10"/>
  <c r="FE61" i="10"/>
  <c r="FD28" i="10"/>
  <c r="FD29" i="10"/>
  <c r="FD30" i="10"/>
  <c r="FD32" i="10"/>
  <c r="FD31" i="10"/>
  <c r="FG43" i="10"/>
  <c r="FH81" i="10" s="1"/>
  <c r="FG42" i="10"/>
  <c r="FH80" i="10" s="1"/>
  <c r="FG40" i="10"/>
  <c r="FH78" i="10" s="1"/>
  <c r="FG41" i="10"/>
  <c r="FH79" i="10" s="1"/>
  <c r="FG44" i="10"/>
  <c r="FH82" i="10" s="1"/>
  <c r="FG37" i="10"/>
  <c r="FH38" i="10"/>
  <c r="FC34" i="10"/>
  <c r="FG25" i="10"/>
  <c r="FH26" i="10"/>
  <c r="FF14" i="10"/>
  <c r="FE13" i="10"/>
  <c r="FE19" i="10" s="1"/>
  <c r="FC72" i="10" l="1"/>
  <c r="FC58" i="10"/>
  <c r="FC70" i="10"/>
  <c r="FH84" i="10"/>
  <c r="FE16" i="10"/>
  <c r="FD53" i="10"/>
  <c r="FD65" i="10"/>
  <c r="FD55" i="10"/>
  <c r="FD67" i="10"/>
  <c r="FE52" i="10"/>
  <c r="FE64" i="10"/>
  <c r="FD52" i="10"/>
  <c r="FD64" i="10"/>
  <c r="FE55" i="10"/>
  <c r="FE67" i="10"/>
  <c r="FD54" i="10"/>
  <c r="FD66" i="10"/>
  <c r="FH42" i="10"/>
  <c r="FI80" i="10" s="1"/>
  <c r="FH43" i="10"/>
  <c r="FI81" i="10" s="1"/>
  <c r="FH40" i="10"/>
  <c r="FI78" i="10" s="1"/>
  <c r="FH41" i="10"/>
  <c r="FI79" i="10" s="1"/>
  <c r="FH44" i="10"/>
  <c r="FI82" i="10" s="1"/>
  <c r="FI38" i="10"/>
  <c r="FH37" i="10"/>
  <c r="FE20" i="10"/>
  <c r="FE17" i="10"/>
  <c r="FD34" i="10"/>
  <c r="FE28" i="10"/>
  <c r="FE29" i="10"/>
  <c r="FE30" i="10"/>
  <c r="FE32" i="10"/>
  <c r="FE31" i="10"/>
  <c r="FG76" i="10"/>
  <c r="FF75" i="10"/>
  <c r="FE18" i="10"/>
  <c r="FG50" i="10"/>
  <c r="FF49" i="10"/>
  <c r="FF61" i="10"/>
  <c r="FG62" i="10"/>
  <c r="FF15" i="10"/>
  <c r="FF51" i="10"/>
  <c r="FF77" i="10"/>
  <c r="FF39" i="10"/>
  <c r="FF27" i="10"/>
  <c r="FF63" i="10"/>
  <c r="FI26" i="10"/>
  <c r="FH25" i="10"/>
  <c r="FD22" i="10"/>
  <c r="FD71" i="10" s="1"/>
  <c r="FG14" i="10"/>
  <c r="FF13" i="10"/>
  <c r="FF18" i="10" s="1"/>
  <c r="FI84" i="10" l="1"/>
  <c r="FF54" i="10"/>
  <c r="FF66" i="10"/>
  <c r="FD72" i="10"/>
  <c r="FE54" i="10"/>
  <c r="FE66" i="10"/>
  <c r="FD58" i="10"/>
  <c r="FE56" i="10"/>
  <c r="FE68" i="10"/>
  <c r="FD70" i="10"/>
  <c r="FE53" i="10"/>
  <c r="FE58" i="10" s="1"/>
  <c r="FE65" i="10"/>
  <c r="FE72" i="10" s="1"/>
  <c r="FE34" i="10"/>
  <c r="FG15" i="10"/>
  <c r="FG63" i="10"/>
  <c r="FG39" i="10"/>
  <c r="FG51" i="10"/>
  <c r="FG77" i="10"/>
  <c r="FG27" i="10"/>
  <c r="FG49" i="10"/>
  <c r="FH50" i="10"/>
  <c r="FG75" i="10"/>
  <c r="FH76" i="10"/>
  <c r="FF32" i="10"/>
  <c r="FF28" i="10"/>
  <c r="FF29" i="10"/>
  <c r="FF30" i="10"/>
  <c r="FF31" i="10"/>
  <c r="FF17" i="10"/>
  <c r="FF19" i="10"/>
  <c r="FF20" i="10"/>
  <c r="FF16" i="10"/>
  <c r="FG61" i="10"/>
  <c r="FH62" i="10"/>
  <c r="FI43" i="10"/>
  <c r="FJ81" i="10" s="1"/>
  <c r="FI42" i="10"/>
  <c r="FJ80" i="10" s="1"/>
  <c r="FI40" i="10"/>
  <c r="FJ78" i="10" s="1"/>
  <c r="FI41" i="10"/>
  <c r="FJ79" i="10" s="1"/>
  <c r="FI44" i="10"/>
  <c r="FJ82" i="10" s="1"/>
  <c r="FJ38" i="10"/>
  <c r="FI37" i="10"/>
  <c r="FJ26" i="10"/>
  <c r="FI25" i="10"/>
  <c r="FH14" i="10"/>
  <c r="FG13" i="10"/>
  <c r="FG17" i="10" s="1"/>
  <c r="FE22" i="10"/>
  <c r="FE71" i="10" s="1"/>
  <c r="FJ84" i="10" l="1"/>
  <c r="FG53" i="10"/>
  <c r="FG65" i="10"/>
  <c r="FE70" i="10"/>
  <c r="FG16" i="10"/>
  <c r="FF55" i="10"/>
  <c r="FF67" i="10"/>
  <c r="FF53" i="10"/>
  <c r="FF65" i="10"/>
  <c r="FF52" i="10"/>
  <c r="FF64" i="10"/>
  <c r="FF56" i="10"/>
  <c r="FF68" i="10"/>
  <c r="FG32" i="10"/>
  <c r="FG29" i="10"/>
  <c r="FG28" i="10"/>
  <c r="FG30" i="10"/>
  <c r="FG31" i="10"/>
  <c r="FI50" i="10"/>
  <c r="FH49" i="10"/>
  <c r="FJ43" i="10"/>
  <c r="FK81" i="10" s="1"/>
  <c r="FJ42" i="10"/>
  <c r="FK80" i="10" s="1"/>
  <c r="FJ40" i="10"/>
  <c r="FK78" i="10" s="1"/>
  <c r="FJ41" i="10"/>
  <c r="FK79" i="10" s="1"/>
  <c r="FJ44" i="10"/>
  <c r="FK82" i="10" s="1"/>
  <c r="FJ37" i="10"/>
  <c r="FK38" i="10"/>
  <c r="FG19" i="10"/>
  <c r="FG18" i="10"/>
  <c r="FH61" i="10"/>
  <c r="FI62" i="10"/>
  <c r="FI76" i="10"/>
  <c r="FH75" i="10"/>
  <c r="FG20" i="10"/>
  <c r="FF34" i="10"/>
  <c r="FH15" i="10"/>
  <c r="FH63" i="10"/>
  <c r="FH39" i="10"/>
  <c r="FH51" i="10"/>
  <c r="FH77" i="10"/>
  <c r="FH27" i="10"/>
  <c r="FK26" i="10"/>
  <c r="FJ25" i="10"/>
  <c r="FI14" i="10"/>
  <c r="FH13" i="10"/>
  <c r="FH19" i="10" s="1"/>
  <c r="FF22" i="10"/>
  <c r="FF71" i="10" s="1"/>
  <c r="FK84" i="10" l="1"/>
  <c r="FH55" i="10"/>
  <c r="FH67" i="10"/>
  <c r="FF58" i="10"/>
  <c r="FG52" i="10"/>
  <c r="FG64" i="10"/>
  <c r="FG54" i="10"/>
  <c r="FG66" i="10"/>
  <c r="FG55" i="10"/>
  <c r="FG67" i="10"/>
  <c r="FF72" i="10"/>
  <c r="FF70" i="10" s="1"/>
  <c r="FG56" i="10"/>
  <c r="FG68" i="10"/>
  <c r="FG34" i="10"/>
  <c r="FK43" i="10"/>
  <c r="FL81" i="10" s="1"/>
  <c r="FK42" i="10"/>
  <c r="FL80" i="10" s="1"/>
  <c r="FK40" i="10"/>
  <c r="FL78" i="10" s="1"/>
  <c r="FK41" i="10"/>
  <c r="FL79" i="10" s="1"/>
  <c r="FK44" i="10"/>
  <c r="FL82" i="10" s="1"/>
  <c r="FL38" i="10"/>
  <c r="FK37" i="10"/>
  <c r="FI15" i="10"/>
  <c r="FI63" i="10"/>
  <c r="FI51" i="10"/>
  <c r="FI77" i="10"/>
  <c r="FI39" i="10"/>
  <c r="FI27" i="10"/>
  <c r="FH16" i="10"/>
  <c r="FH32" i="10"/>
  <c r="FH29" i="10"/>
  <c r="FH30" i="10"/>
  <c r="FH31" i="10"/>
  <c r="FH28" i="10"/>
  <c r="FH17" i="10"/>
  <c r="FH20" i="10"/>
  <c r="FH18" i="10"/>
  <c r="FJ50" i="10"/>
  <c r="FI49" i="10"/>
  <c r="FJ76" i="10"/>
  <c r="FI75" i="10"/>
  <c r="FI61" i="10"/>
  <c r="FJ62" i="10"/>
  <c r="FL26" i="10"/>
  <c r="FK25" i="10"/>
  <c r="FG22" i="10"/>
  <c r="FG71" i="10" s="1"/>
  <c r="FJ14" i="10"/>
  <c r="FI13" i="10"/>
  <c r="FI16" i="10" s="1"/>
  <c r="FL84" i="10" l="1"/>
  <c r="FH56" i="10"/>
  <c r="FH68" i="10"/>
  <c r="FG72" i="10"/>
  <c r="FG70" i="10" s="1"/>
  <c r="FH53" i="10"/>
  <c r="FH65" i="10"/>
  <c r="FI52" i="10"/>
  <c r="FI64" i="10"/>
  <c r="FH52" i="10"/>
  <c r="FH64" i="10"/>
  <c r="FG58" i="10"/>
  <c r="FH54" i="10"/>
  <c r="FH66" i="10"/>
  <c r="FH22" i="10"/>
  <c r="FH71" i="10" s="1"/>
  <c r="FH34" i="10"/>
  <c r="FK50" i="10"/>
  <c r="FJ49" i="10"/>
  <c r="FI32" i="10"/>
  <c r="FI29" i="10"/>
  <c r="FI30" i="10"/>
  <c r="FI31" i="10"/>
  <c r="FI28" i="10"/>
  <c r="FJ75" i="10"/>
  <c r="FK76" i="10"/>
  <c r="FL41" i="10"/>
  <c r="FM79" i="10" s="1"/>
  <c r="FL44" i="10"/>
  <c r="FM82" i="10" s="1"/>
  <c r="FL40" i="10"/>
  <c r="FM78" i="10" s="1"/>
  <c r="FL43" i="10"/>
  <c r="FM81" i="10" s="1"/>
  <c r="FL42" i="10"/>
  <c r="FM80" i="10" s="1"/>
  <c r="FM38" i="10"/>
  <c r="FL37" i="10"/>
  <c r="FH58" i="10"/>
  <c r="FI20" i="10"/>
  <c r="FI18" i="10"/>
  <c r="FJ15" i="10"/>
  <c r="FJ51" i="10"/>
  <c r="FJ77" i="10"/>
  <c r="FJ39" i="10"/>
  <c r="FJ63" i="10"/>
  <c r="FJ27" i="10"/>
  <c r="FK62" i="10"/>
  <c r="FJ61" i="10"/>
  <c r="FI19" i="10"/>
  <c r="FI17" i="10"/>
  <c r="FL25" i="10"/>
  <c r="FM26" i="10"/>
  <c r="FK14" i="10"/>
  <c r="FJ13" i="10"/>
  <c r="FJ16" i="10" s="1"/>
  <c r="FM84" i="10" l="1"/>
  <c r="FI34" i="10"/>
  <c r="FJ19" i="10"/>
  <c r="FI55" i="10"/>
  <c r="FI67" i="10"/>
  <c r="FJ55" i="10"/>
  <c r="FJ67" i="10"/>
  <c r="FI53" i="10"/>
  <c r="FI65" i="10"/>
  <c r="FH72" i="10"/>
  <c r="FI54" i="10"/>
  <c r="FI66" i="10"/>
  <c r="FH70" i="10"/>
  <c r="FJ52" i="10"/>
  <c r="FJ64" i="10"/>
  <c r="FI56" i="10"/>
  <c r="FI68" i="10"/>
  <c r="FK15" i="10"/>
  <c r="FK27" i="10"/>
  <c r="FK63" i="10"/>
  <c r="FK51" i="10"/>
  <c r="FK77" i="10"/>
  <c r="FK39" i="10"/>
  <c r="FJ17" i="10"/>
  <c r="FM41" i="10"/>
  <c r="FN79" i="10" s="1"/>
  <c r="FM44" i="10"/>
  <c r="FN82" i="10" s="1"/>
  <c r="FM43" i="10"/>
  <c r="FN81" i="10" s="1"/>
  <c r="FM40" i="10"/>
  <c r="FN78" i="10" s="1"/>
  <c r="FM42" i="10"/>
  <c r="FN80" i="10" s="1"/>
  <c r="FN38" i="10"/>
  <c r="FM37" i="10"/>
  <c r="FJ18" i="10"/>
  <c r="FK61" i="10"/>
  <c r="FL62" i="10"/>
  <c r="FL50" i="10"/>
  <c r="FK49" i="10"/>
  <c r="FJ31" i="10"/>
  <c r="FJ29" i="10"/>
  <c r="FJ30" i="10"/>
  <c r="FJ32" i="10"/>
  <c r="FJ28" i="10"/>
  <c r="FK75" i="10"/>
  <c r="FL76" i="10"/>
  <c r="FJ20" i="10"/>
  <c r="FN26" i="10"/>
  <c r="FM25" i="10"/>
  <c r="FL14" i="10"/>
  <c r="FK13" i="10"/>
  <c r="FK18" i="10" s="1"/>
  <c r="FI22" i="10"/>
  <c r="FI71" i="10" s="1"/>
  <c r="FJ34" i="10" l="1"/>
  <c r="FN84" i="10"/>
  <c r="FI72" i="10"/>
  <c r="FK54" i="10"/>
  <c r="FK66" i="10"/>
  <c r="FI70" i="10"/>
  <c r="FJ54" i="10"/>
  <c r="FJ66" i="10"/>
  <c r="FJ53" i="10"/>
  <c r="FJ65" i="10"/>
  <c r="FJ56" i="10"/>
  <c r="FJ68" i="10"/>
  <c r="FI58" i="10"/>
  <c r="FJ58" i="10"/>
  <c r="FK17" i="10"/>
  <c r="FJ22" i="10"/>
  <c r="FJ71" i="10" s="1"/>
  <c r="FK19" i="10"/>
  <c r="FM76" i="10"/>
  <c r="FL75" i="10"/>
  <c r="FK16" i="10"/>
  <c r="FL49" i="10"/>
  <c r="FM50" i="10"/>
  <c r="FN42" i="10"/>
  <c r="FO80" i="10" s="1"/>
  <c r="FN44" i="10"/>
  <c r="FO82" i="10" s="1"/>
  <c r="FN41" i="10"/>
  <c r="FO79" i="10" s="1"/>
  <c r="FN43" i="10"/>
  <c r="FO81" i="10" s="1"/>
  <c r="FN40" i="10"/>
  <c r="FO78" i="10" s="1"/>
  <c r="FO38" i="10"/>
  <c r="FN37" i="10"/>
  <c r="FM62" i="10"/>
  <c r="FL61" i="10"/>
  <c r="FL15" i="10"/>
  <c r="FL27" i="10"/>
  <c r="FL63" i="10"/>
  <c r="FL51" i="10"/>
  <c r="FL77" i="10"/>
  <c r="FL39" i="10"/>
  <c r="FK31" i="10"/>
  <c r="FK30" i="10"/>
  <c r="FK32" i="10"/>
  <c r="FK29" i="10"/>
  <c r="FK28" i="10"/>
  <c r="FK20" i="10"/>
  <c r="FN25" i="10"/>
  <c r="FO26" i="10"/>
  <c r="FM14" i="10"/>
  <c r="FL13" i="10"/>
  <c r="FL17" i="10" s="1"/>
  <c r="FO84" i="10" l="1"/>
  <c r="FJ72" i="10"/>
  <c r="FJ70" i="10" s="1"/>
  <c r="FK53" i="10"/>
  <c r="FK65" i="10"/>
  <c r="FK55" i="10"/>
  <c r="FK67" i="10"/>
  <c r="FK56" i="10"/>
  <c r="FK68" i="10"/>
  <c r="FK52" i="10"/>
  <c r="FK64" i="10"/>
  <c r="FL53" i="10"/>
  <c r="FL65" i="10"/>
  <c r="FK22" i="10"/>
  <c r="FK71" i="10" s="1"/>
  <c r="FK58" i="10"/>
  <c r="FN62" i="10"/>
  <c r="FM61" i="10"/>
  <c r="FL20" i="10"/>
  <c r="FL18" i="10"/>
  <c r="FN76" i="10"/>
  <c r="FM75" i="10"/>
  <c r="FO42" i="10"/>
  <c r="FP80" i="10" s="1"/>
  <c r="FO44" i="10"/>
  <c r="FP82" i="10" s="1"/>
  <c r="FO41" i="10"/>
  <c r="FP79" i="10" s="1"/>
  <c r="FO43" i="10"/>
  <c r="FP81" i="10" s="1"/>
  <c r="FO40" i="10"/>
  <c r="FP78" i="10" s="1"/>
  <c r="FP38" i="10"/>
  <c r="FO37" i="10"/>
  <c r="FL19" i="10"/>
  <c r="FM49" i="10"/>
  <c r="FN50" i="10"/>
  <c r="FL31" i="10"/>
  <c r="FL30" i="10"/>
  <c r="FL32" i="10"/>
  <c r="FL29" i="10"/>
  <c r="FL28" i="10"/>
  <c r="FM15" i="10"/>
  <c r="FM27" i="10"/>
  <c r="FM63" i="10"/>
  <c r="FM51" i="10"/>
  <c r="FM77" i="10"/>
  <c r="FM39" i="10"/>
  <c r="FL16" i="10"/>
  <c r="FK34" i="10"/>
  <c r="FO25" i="10"/>
  <c r="FP26" i="10"/>
  <c r="FN14" i="10"/>
  <c r="FM13" i="10"/>
  <c r="FM16" i="10" s="1"/>
  <c r="FM64" i="10" s="1"/>
  <c r="FK72" i="10" l="1"/>
  <c r="FK70" i="10" s="1"/>
  <c r="FP84" i="10"/>
  <c r="FL56" i="10"/>
  <c r="FL68" i="10"/>
  <c r="FL55" i="10"/>
  <c r="FL67" i="10"/>
  <c r="FL34" i="10"/>
  <c r="FL52" i="10"/>
  <c r="FL64" i="10"/>
  <c r="FL54" i="10"/>
  <c r="FL66" i="10"/>
  <c r="FL22" i="10"/>
  <c r="FL71" i="10" s="1"/>
  <c r="FM52" i="10"/>
  <c r="FO50" i="10"/>
  <c r="FN49" i="10"/>
  <c r="FM31" i="10"/>
  <c r="FM30" i="10"/>
  <c r="FM32" i="10"/>
  <c r="FM29" i="10"/>
  <c r="FM28" i="10"/>
  <c r="FM20" i="10"/>
  <c r="FM18" i="10"/>
  <c r="FO76" i="10"/>
  <c r="FN75" i="10"/>
  <c r="FN61" i="10"/>
  <c r="FO62" i="10"/>
  <c r="FM19" i="10"/>
  <c r="FN15" i="10"/>
  <c r="FN63" i="10"/>
  <c r="FN39" i="10"/>
  <c r="FN27" i="10"/>
  <c r="FN51" i="10"/>
  <c r="FN77" i="10"/>
  <c r="FP44" i="10"/>
  <c r="FQ82" i="10" s="1"/>
  <c r="FP42" i="10"/>
  <c r="FQ80" i="10" s="1"/>
  <c r="FP40" i="10"/>
  <c r="FQ78" i="10" s="1"/>
  <c r="FP41" i="10"/>
  <c r="FQ79" i="10" s="1"/>
  <c r="FP43" i="10"/>
  <c r="FQ81" i="10" s="1"/>
  <c r="FQ38" i="10"/>
  <c r="FP37" i="10"/>
  <c r="FM17" i="10"/>
  <c r="FQ26" i="10"/>
  <c r="FP25" i="10"/>
  <c r="FO14" i="10"/>
  <c r="FN13" i="10"/>
  <c r="FN16" i="10" s="1"/>
  <c r="FQ84" i="10" l="1"/>
  <c r="FL58" i="10"/>
  <c r="FN52" i="10"/>
  <c r="FN64" i="10"/>
  <c r="FL72" i="10"/>
  <c r="FL70" i="10" s="1"/>
  <c r="FM34" i="10"/>
  <c r="FM53" i="10"/>
  <c r="FM65" i="10"/>
  <c r="FM54" i="10"/>
  <c r="FM66" i="10"/>
  <c r="FM55" i="10"/>
  <c r="FM67" i="10"/>
  <c r="FM56" i="10"/>
  <c r="FM68" i="10"/>
  <c r="FN17" i="10"/>
  <c r="FP62" i="10"/>
  <c r="FO61" i="10"/>
  <c r="FN20" i="10"/>
  <c r="FP50" i="10"/>
  <c r="FO49" i="10"/>
  <c r="FN19" i="10"/>
  <c r="FO15" i="10"/>
  <c r="FO51" i="10"/>
  <c r="FO63" i="10"/>
  <c r="FO77" i="10"/>
  <c r="FO27" i="10"/>
  <c r="FO39" i="10"/>
  <c r="FQ44" i="10"/>
  <c r="FR82" i="10" s="1"/>
  <c r="FQ41" i="10"/>
  <c r="FR79" i="10" s="1"/>
  <c r="FQ43" i="10"/>
  <c r="FR81" i="10" s="1"/>
  <c r="FQ40" i="10"/>
  <c r="FR78" i="10" s="1"/>
  <c r="FQ42" i="10"/>
  <c r="FR80" i="10" s="1"/>
  <c r="FR38" i="10"/>
  <c r="FQ37" i="10"/>
  <c r="FM22" i="10"/>
  <c r="FM71" i="10" s="1"/>
  <c r="FN29" i="10"/>
  <c r="FN30" i="10"/>
  <c r="FN28" i="10"/>
  <c r="FN31" i="10"/>
  <c r="FN32" i="10"/>
  <c r="FO16" i="10"/>
  <c r="FO17" i="10"/>
  <c r="FO18" i="10"/>
  <c r="FO19" i="10"/>
  <c r="FO20" i="10"/>
  <c r="FN18" i="10"/>
  <c r="FO75" i="10"/>
  <c r="FP76" i="10"/>
  <c r="FR26" i="10"/>
  <c r="FQ25" i="10"/>
  <c r="FP14" i="10"/>
  <c r="FO13" i="10"/>
  <c r="FM58" i="10" l="1"/>
  <c r="FR84" i="10"/>
  <c r="FN54" i="10"/>
  <c r="FN66" i="10"/>
  <c r="FO53" i="10"/>
  <c r="FO65" i="10"/>
  <c r="FO52" i="10"/>
  <c r="FO64" i="10"/>
  <c r="FN53" i="10"/>
  <c r="FN65" i="10"/>
  <c r="FN72" i="10" s="1"/>
  <c r="FO55" i="10"/>
  <c r="FO67" i="10"/>
  <c r="FM72" i="10"/>
  <c r="FM70" i="10" s="1"/>
  <c r="FO56" i="10"/>
  <c r="FO68" i="10"/>
  <c r="FO54" i="10"/>
  <c r="FO66" i="10"/>
  <c r="FN55" i="10"/>
  <c r="FN67" i="10"/>
  <c r="FN56" i="10"/>
  <c r="FN68" i="10"/>
  <c r="FN22" i="10"/>
  <c r="FN71" i="10" s="1"/>
  <c r="FP15" i="10"/>
  <c r="FP51" i="10"/>
  <c r="FP77" i="10"/>
  <c r="FP27" i="10"/>
  <c r="FP63" i="10"/>
  <c r="FP39" i="10"/>
  <c r="FR44" i="10"/>
  <c r="FS82" i="10" s="1"/>
  <c r="FR41" i="10"/>
  <c r="FS79" i="10" s="1"/>
  <c r="FR43" i="10"/>
  <c r="FS81" i="10" s="1"/>
  <c r="FR40" i="10"/>
  <c r="FS78" i="10" s="1"/>
  <c r="FR42" i="10"/>
  <c r="FS80" i="10" s="1"/>
  <c r="FR37" i="10"/>
  <c r="FS38" i="10"/>
  <c r="FP75" i="10"/>
  <c r="FQ76" i="10"/>
  <c r="FP61" i="10"/>
  <c r="FQ62" i="10"/>
  <c r="FN34" i="10"/>
  <c r="FP49" i="10"/>
  <c r="FQ50" i="10"/>
  <c r="FO30" i="10"/>
  <c r="FO28" i="10"/>
  <c r="FO31" i="10"/>
  <c r="FO32" i="10"/>
  <c r="FO29" i="10"/>
  <c r="FS26" i="10"/>
  <c r="FR25" i="10"/>
  <c r="FO22" i="10"/>
  <c r="FO71" i="10" s="1"/>
  <c r="FQ14" i="10"/>
  <c r="FP13" i="10"/>
  <c r="FO58" i="10" l="1"/>
  <c r="FS84" i="10"/>
  <c r="FN58" i="10"/>
  <c r="FO72" i="10"/>
  <c r="FN70" i="10"/>
  <c r="FO70" i="10"/>
  <c r="FS44" i="10"/>
  <c r="FT82" i="10" s="1"/>
  <c r="FS43" i="10"/>
  <c r="FT81" i="10" s="1"/>
  <c r="FS41" i="10"/>
  <c r="FT79" i="10" s="1"/>
  <c r="FS42" i="10"/>
  <c r="FT80" i="10" s="1"/>
  <c r="FS40" i="10"/>
  <c r="FT78" i="10" s="1"/>
  <c r="FT38" i="10"/>
  <c r="FS37" i="10"/>
  <c r="FP30" i="10"/>
  <c r="FP28" i="10"/>
  <c r="FP31" i="10"/>
  <c r="FP32" i="10"/>
  <c r="FP29" i="10"/>
  <c r="FP17" i="10"/>
  <c r="FP16" i="10"/>
  <c r="FR76" i="10"/>
  <c r="FQ75" i="10"/>
  <c r="FQ49" i="10"/>
  <c r="FR50" i="10"/>
  <c r="FR62" i="10"/>
  <c r="FQ61" i="10"/>
  <c r="FQ15" i="10"/>
  <c r="FQ39" i="10"/>
  <c r="FQ27" i="10"/>
  <c r="FQ51" i="10"/>
  <c r="FQ77" i="10"/>
  <c r="FQ63" i="10"/>
  <c r="FO34" i="10"/>
  <c r="FP20" i="10"/>
  <c r="FP19" i="10"/>
  <c r="FP18" i="10"/>
  <c r="FT26" i="10"/>
  <c r="FS25" i="10"/>
  <c r="FR14" i="10"/>
  <c r="FQ13" i="10"/>
  <c r="FQ18" i="10" s="1"/>
  <c r="FT84" i="10" l="1"/>
  <c r="FP55" i="10"/>
  <c r="FP67" i="10"/>
  <c r="FQ54" i="10"/>
  <c r="FQ66" i="10"/>
  <c r="FP56" i="10"/>
  <c r="FP68" i="10"/>
  <c r="FP53" i="10"/>
  <c r="FP65" i="10"/>
  <c r="FP54" i="10"/>
  <c r="FP66" i="10"/>
  <c r="FP52" i="10"/>
  <c r="FP64" i="10"/>
  <c r="FP22" i="10"/>
  <c r="FP71" i="10" s="1"/>
  <c r="FQ16" i="10"/>
  <c r="FS76" i="10"/>
  <c r="FR75" i="10"/>
  <c r="FQ20" i="10"/>
  <c r="FP34" i="10"/>
  <c r="FQ17" i="10"/>
  <c r="FS62" i="10"/>
  <c r="FR61" i="10"/>
  <c r="FQ30" i="10"/>
  <c r="FQ28" i="10"/>
  <c r="FQ31" i="10"/>
  <c r="FQ29" i="10"/>
  <c r="FQ32" i="10"/>
  <c r="FR15" i="10"/>
  <c r="FR39" i="10"/>
  <c r="FR27" i="10"/>
  <c r="FR51" i="10"/>
  <c r="FR77" i="10"/>
  <c r="FR63" i="10"/>
  <c r="FR49" i="10"/>
  <c r="FS50" i="10"/>
  <c r="FT43" i="10"/>
  <c r="FU81" i="10" s="1"/>
  <c r="FT44" i="10"/>
  <c r="FU82" i="10" s="1"/>
  <c r="FT41" i="10"/>
  <c r="FU79" i="10" s="1"/>
  <c r="FT42" i="10"/>
  <c r="FU80" i="10" s="1"/>
  <c r="FT40" i="10"/>
  <c r="FU78" i="10" s="1"/>
  <c r="FU38" i="10"/>
  <c r="FT37" i="10"/>
  <c r="FQ19" i="10"/>
  <c r="FT25" i="10"/>
  <c r="FU26" i="10"/>
  <c r="FS14" i="10"/>
  <c r="FR13" i="10"/>
  <c r="FR18" i="10" s="1"/>
  <c r="FP72" i="10" l="1"/>
  <c r="FP58" i="10"/>
  <c r="FU84" i="10"/>
  <c r="FP70" i="10"/>
  <c r="FR54" i="10"/>
  <c r="FR66" i="10"/>
  <c r="FQ55" i="10"/>
  <c r="FQ67" i="10"/>
  <c r="FQ52" i="10"/>
  <c r="FQ64" i="10"/>
  <c r="FR20" i="10"/>
  <c r="FQ53" i="10"/>
  <c r="FQ65" i="10"/>
  <c r="FQ56" i="10"/>
  <c r="FQ58" i="10" s="1"/>
  <c r="FQ68" i="10"/>
  <c r="FS15" i="10"/>
  <c r="FS39" i="10"/>
  <c r="FS51" i="10"/>
  <c r="FS27" i="10"/>
  <c r="FS77" i="10"/>
  <c r="FS63" i="10"/>
  <c r="FR29" i="10"/>
  <c r="FR30" i="10"/>
  <c r="FR28" i="10"/>
  <c r="FR31" i="10"/>
  <c r="FR32" i="10"/>
  <c r="FQ34" i="10"/>
  <c r="FR16" i="10"/>
  <c r="FR19" i="10"/>
  <c r="FT76" i="10"/>
  <c r="FS75" i="10"/>
  <c r="FT50" i="10"/>
  <c r="FS49" i="10"/>
  <c r="FT62" i="10"/>
  <c r="FS61" i="10"/>
  <c r="FU43" i="10"/>
  <c r="FV81" i="10" s="1"/>
  <c r="FU44" i="10"/>
  <c r="FV82" i="10" s="1"/>
  <c r="FU40" i="10"/>
  <c r="FV78" i="10" s="1"/>
  <c r="FU42" i="10"/>
  <c r="FV80" i="10" s="1"/>
  <c r="FU41" i="10"/>
  <c r="FV79" i="10" s="1"/>
  <c r="FU37" i="10"/>
  <c r="FV38" i="10"/>
  <c r="FR17" i="10"/>
  <c r="FU25" i="10"/>
  <c r="FV26" i="10"/>
  <c r="FT14" i="10"/>
  <c r="FS13" i="10"/>
  <c r="FS19" i="10" s="1"/>
  <c r="FQ22" i="10"/>
  <c r="FQ71" i="10" s="1"/>
  <c r="FV84" i="10" l="1"/>
  <c r="FS55" i="10"/>
  <c r="FS67" i="10"/>
  <c r="FS16" i="10"/>
  <c r="FQ72" i="10"/>
  <c r="FQ70" i="10" s="1"/>
  <c r="FR55" i="10"/>
  <c r="FR67" i="10"/>
  <c r="FR53" i="10"/>
  <c r="FR65" i="10"/>
  <c r="FR52" i="10"/>
  <c r="FR64" i="10"/>
  <c r="FR56" i="10"/>
  <c r="FR68" i="10"/>
  <c r="FR22" i="10"/>
  <c r="FR71" i="10" s="1"/>
  <c r="FS28" i="10"/>
  <c r="FS29" i="10"/>
  <c r="FS30" i="10"/>
  <c r="FS31" i="10"/>
  <c r="FS32" i="10"/>
  <c r="FU76" i="10"/>
  <c r="FT75" i="10"/>
  <c r="FS18" i="10"/>
  <c r="FV43" i="10"/>
  <c r="FW81" i="10" s="1"/>
  <c r="FV44" i="10"/>
  <c r="FW82" i="10" s="1"/>
  <c r="FV40" i="10"/>
  <c r="FW78" i="10" s="1"/>
  <c r="FV42" i="10"/>
  <c r="FW80" i="10" s="1"/>
  <c r="FV41" i="10"/>
  <c r="FW79" i="10" s="1"/>
  <c r="FV37" i="10"/>
  <c r="FW38" i="10"/>
  <c r="FS17" i="10"/>
  <c r="FR34" i="10"/>
  <c r="FR58" i="10"/>
  <c r="FS20" i="10"/>
  <c r="FT61" i="10"/>
  <c r="FU62" i="10"/>
  <c r="FT49" i="10"/>
  <c r="FU50" i="10"/>
  <c r="FT15" i="10"/>
  <c r="FT39" i="10"/>
  <c r="FT51" i="10"/>
  <c r="FT77" i="10"/>
  <c r="FT63" i="10"/>
  <c r="FT27" i="10"/>
  <c r="FV25" i="10"/>
  <c r="FW26" i="10"/>
  <c r="FU14" i="10"/>
  <c r="FT13" i="10"/>
  <c r="FT17" i="10" s="1"/>
  <c r="FW84" i="10" l="1"/>
  <c r="FT53" i="10"/>
  <c r="FT65" i="10"/>
  <c r="FS53" i="10"/>
  <c r="FS65" i="10"/>
  <c r="FR72" i="10"/>
  <c r="FR70" i="10" s="1"/>
  <c r="FS54" i="10"/>
  <c r="FS66" i="10"/>
  <c r="FS52" i="10"/>
  <c r="FS64" i="10"/>
  <c r="FS56" i="10"/>
  <c r="FS68" i="10"/>
  <c r="FS22" i="10"/>
  <c r="FS71" i="10" s="1"/>
  <c r="FW44" i="10"/>
  <c r="FX82" i="10" s="1"/>
  <c r="FW40" i="10"/>
  <c r="FX78" i="10" s="1"/>
  <c r="FW42" i="10"/>
  <c r="FX80" i="10" s="1"/>
  <c r="FW43" i="10"/>
  <c r="FX81" i="10" s="1"/>
  <c r="FW41" i="10"/>
  <c r="FX79" i="10" s="1"/>
  <c r="FW37" i="10"/>
  <c r="FX38" i="10"/>
  <c r="FV62" i="10"/>
  <c r="FU61" i="10"/>
  <c r="FV76" i="10"/>
  <c r="FU75" i="10"/>
  <c r="FT28" i="10"/>
  <c r="FT29" i="10"/>
  <c r="FT30" i="10"/>
  <c r="FT31" i="10"/>
  <c r="FT32" i="10"/>
  <c r="FU49" i="10"/>
  <c r="FV50" i="10"/>
  <c r="FT16" i="10"/>
  <c r="FT19" i="10"/>
  <c r="FT20" i="10"/>
  <c r="FU15" i="10"/>
  <c r="FU77" i="10"/>
  <c r="FU51" i="10"/>
  <c r="FU39" i="10"/>
  <c r="FU63" i="10"/>
  <c r="FU27" i="10"/>
  <c r="FT18" i="10"/>
  <c r="FS34" i="10"/>
  <c r="FW25" i="10"/>
  <c r="FX26" i="10"/>
  <c r="FV14" i="10"/>
  <c r="FU13" i="10"/>
  <c r="FU17" i="10" s="1"/>
  <c r="FX84" i="10" l="1"/>
  <c r="FS72" i="10"/>
  <c r="FT52" i="10"/>
  <c r="FT64" i="10"/>
  <c r="FT54" i="10"/>
  <c r="FT66" i="10"/>
  <c r="FU53" i="10"/>
  <c r="FU65" i="10"/>
  <c r="FS58" i="10"/>
  <c r="FS70" i="10"/>
  <c r="FT56" i="10"/>
  <c r="FT68" i="10"/>
  <c r="FT55" i="10"/>
  <c r="FT67" i="10"/>
  <c r="FT22" i="10"/>
  <c r="FT71" i="10" s="1"/>
  <c r="FW76" i="10"/>
  <c r="FV75" i="10"/>
  <c r="FW50" i="10"/>
  <c r="FV49" i="10"/>
  <c r="FU28" i="10"/>
  <c r="FU29" i="10"/>
  <c r="FU30" i="10"/>
  <c r="FU32" i="10"/>
  <c r="FU31" i="10"/>
  <c r="FV61" i="10"/>
  <c r="FW62" i="10"/>
  <c r="FV15" i="10"/>
  <c r="FV77" i="10"/>
  <c r="FV51" i="10"/>
  <c r="FV39" i="10"/>
  <c r="FV63" i="10"/>
  <c r="FV27" i="10"/>
  <c r="FU16" i="10"/>
  <c r="FU19" i="10"/>
  <c r="FX42" i="10"/>
  <c r="FY80" i="10" s="1"/>
  <c r="FX44" i="10"/>
  <c r="FY82" i="10" s="1"/>
  <c r="FX40" i="10"/>
  <c r="FY78" i="10" s="1"/>
  <c r="FX43" i="10"/>
  <c r="FY81" i="10" s="1"/>
  <c r="FX41" i="10"/>
  <c r="FY79" i="10" s="1"/>
  <c r="FY38" i="10"/>
  <c r="FX37" i="10"/>
  <c r="FU20" i="10"/>
  <c r="FU18" i="10"/>
  <c r="FT34" i="10"/>
  <c r="FY26" i="10"/>
  <c r="FX25" i="10"/>
  <c r="FW14" i="10"/>
  <c r="FV13" i="10"/>
  <c r="FY84" i="10" l="1"/>
  <c r="FT58" i="10"/>
  <c r="FT72" i="10"/>
  <c r="FU56" i="10"/>
  <c r="FU68" i="10"/>
  <c r="FU55" i="10"/>
  <c r="FU67" i="10"/>
  <c r="FT70" i="10"/>
  <c r="FU54" i="10"/>
  <c r="FU66" i="10"/>
  <c r="FU52" i="10"/>
  <c r="FU64" i="10"/>
  <c r="FU22" i="10"/>
  <c r="FU71" i="10" s="1"/>
  <c r="FV32" i="10"/>
  <c r="FV29" i="10"/>
  <c r="FV30" i="10"/>
  <c r="FV28" i="10"/>
  <c r="FV31" i="10"/>
  <c r="FV16" i="10"/>
  <c r="FY44" i="10"/>
  <c r="FZ82" i="10" s="1"/>
  <c r="FY40" i="10"/>
  <c r="FZ78" i="10" s="1"/>
  <c r="FY43" i="10"/>
  <c r="FZ81" i="10" s="1"/>
  <c r="FY42" i="10"/>
  <c r="FZ80" i="10" s="1"/>
  <c r="FY41" i="10"/>
  <c r="FZ79" i="10" s="1"/>
  <c r="FY37" i="10"/>
  <c r="FZ38" i="10"/>
  <c r="FV18" i="10"/>
  <c r="FV20" i="10"/>
  <c r="FV19" i="10"/>
  <c r="FU34" i="10"/>
  <c r="FW49" i="10"/>
  <c r="FX50" i="10"/>
  <c r="FW15" i="10"/>
  <c r="FW51" i="10"/>
  <c r="FW63" i="10"/>
  <c r="FW77" i="10"/>
  <c r="FW39" i="10"/>
  <c r="FW27" i="10"/>
  <c r="FV17" i="10"/>
  <c r="FW61" i="10"/>
  <c r="FX62" i="10"/>
  <c r="FW75" i="10"/>
  <c r="FX76" i="10"/>
  <c r="FZ26" i="10"/>
  <c r="FZ25" i="10" s="1"/>
  <c r="FY25" i="10"/>
  <c r="FX14" i="10"/>
  <c r="FW13" i="10"/>
  <c r="FW18" i="10" s="1"/>
  <c r="FU72" i="10" l="1"/>
  <c r="FU58" i="10"/>
  <c r="FZ84" i="10"/>
  <c r="E25" i="5" s="1"/>
  <c r="FU70" i="10"/>
  <c r="FV53" i="10"/>
  <c r="FV65" i="10"/>
  <c r="FW54" i="10"/>
  <c r="FW66" i="10"/>
  <c r="FV55" i="10"/>
  <c r="FV67" i="10"/>
  <c r="FV54" i="10"/>
  <c r="FV66" i="10"/>
  <c r="FV56" i="10"/>
  <c r="FV68" i="10"/>
  <c r="FV52" i="10"/>
  <c r="FV64" i="10"/>
  <c r="FX49" i="10"/>
  <c r="FY50" i="10"/>
  <c r="FW20" i="10"/>
  <c r="FV34" i="10"/>
  <c r="FW32" i="10"/>
  <c r="FW29" i="10"/>
  <c r="FW30" i="10"/>
  <c r="FW28" i="10"/>
  <c r="FW31" i="10"/>
  <c r="FW17" i="10"/>
  <c r="FW19" i="10"/>
  <c r="FY76" i="10"/>
  <c r="FX75" i="10"/>
  <c r="FY62" i="10"/>
  <c r="FX61" i="10"/>
  <c r="FZ37" i="10"/>
  <c r="FZ44" i="10"/>
  <c r="FZ40" i="10"/>
  <c r="FZ43" i="10"/>
  <c r="FZ42" i="10"/>
  <c r="FZ41" i="10"/>
  <c r="FX19" i="10"/>
  <c r="FX18" i="10"/>
  <c r="FX20" i="10"/>
  <c r="FX16" i="10"/>
  <c r="FX17" i="10"/>
  <c r="FV22" i="10"/>
  <c r="FV71" i="10" s="1"/>
  <c r="FX15" i="10"/>
  <c r="FX39" i="10"/>
  <c r="FX51" i="10"/>
  <c r="FX63" i="10"/>
  <c r="FX27" i="10"/>
  <c r="FX77" i="10"/>
  <c r="FW16" i="10"/>
  <c r="FY14" i="10"/>
  <c r="FX13" i="10"/>
  <c r="FV72" i="10" l="1"/>
  <c r="FV70" i="10" s="1"/>
  <c r="FV58" i="10"/>
  <c r="FW52" i="10"/>
  <c r="FW64" i="10"/>
  <c r="FW53" i="10"/>
  <c r="FW65" i="10"/>
  <c r="FX53" i="10"/>
  <c r="FX65" i="10"/>
  <c r="FW55" i="10"/>
  <c r="FW67" i="10"/>
  <c r="FX52" i="10"/>
  <c r="FX64" i="10"/>
  <c r="FX55" i="10"/>
  <c r="FX67" i="10"/>
  <c r="FW56" i="10"/>
  <c r="FW58" i="10" s="1"/>
  <c r="FW68" i="10"/>
  <c r="FX56" i="10"/>
  <c r="FX68" i="10"/>
  <c r="FX54" i="10"/>
  <c r="FX66" i="10"/>
  <c r="FZ62" i="10"/>
  <c r="FZ61" i="10" s="1"/>
  <c r="FY61" i="10"/>
  <c r="FW34" i="10"/>
  <c r="FW22" i="10"/>
  <c r="FW71" i="10" s="1"/>
  <c r="FY15" i="10"/>
  <c r="FY39" i="10"/>
  <c r="FY51" i="10"/>
  <c r="FY63" i="10"/>
  <c r="FY77" i="10"/>
  <c r="FY27" i="10"/>
  <c r="FX32" i="10"/>
  <c r="FX29" i="10"/>
  <c r="FX30" i="10"/>
  <c r="FX28" i="10"/>
  <c r="FX31" i="10"/>
  <c r="FZ76" i="10"/>
  <c r="FZ75" i="10" s="1"/>
  <c r="FY75" i="10"/>
  <c r="FZ50" i="10"/>
  <c r="FZ49" i="10" s="1"/>
  <c r="FY49" i="10"/>
  <c r="FZ14" i="10"/>
  <c r="FY13" i="10"/>
  <c r="FY19" i="10" s="1"/>
  <c r="FX58" i="10" l="1"/>
  <c r="FX72" i="10"/>
  <c r="FY55" i="10"/>
  <c r="FY67" i="10"/>
  <c r="FW72" i="10"/>
  <c r="FW70" i="10" s="1"/>
  <c r="FZ15" i="10"/>
  <c r="FZ39" i="10"/>
  <c r="FZ77" i="10"/>
  <c r="FZ63" i="10"/>
  <c r="FZ51" i="10"/>
  <c r="FZ27" i="10"/>
  <c r="FY17" i="10"/>
  <c r="FY18" i="10"/>
  <c r="FX34" i="10"/>
  <c r="FZ18" i="10"/>
  <c r="FZ17" i="10"/>
  <c r="FY32" i="10"/>
  <c r="FY29" i="10"/>
  <c r="FY30" i="10"/>
  <c r="FY28" i="10"/>
  <c r="FY31" i="10"/>
  <c r="FY20" i="10"/>
  <c r="FY16" i="10"/>
  <c r="FZ13" i="10"/>
  <c r="FZ19" i="10" s="1"/>
  <c r="FX22" i="10"/>
  <c r="FX71" i="10" s="1"/>
  <c r="FX70" i="10" s="1"/>
  <c r="FZ55" i="10" l="1"/>
  <c r="FZ67" i="10"/>
  <c r="FY52" i="10"/>
  <c r="FY64" i="10"/>
  <c r="FZ53" i="10"/>
  <c r="FZ65" i="10"/>
  <c r="FY54" i="10"/>
  <c r="FY66" i="10"/>
  <c r="FY56" i="10"/>
  <c r="FY68" i="10"/>
  <c r="FZ20" i="10"/>
  <c r="FZ54" i="10"/>
  <c r="FZ66" i="10"/>
  <c r="FY53" i="10"/>
  <c r="FY58" i="10" s="1"/>
  <c r="FY65" i="10"/>
  <c r="FZ16" i="10"/>
  <c r="FY22" i="10"/>
  <c r="FY71" i="10" s="1"/>
  <c r="FY34" i="10"/>
  <c r="FZ31" i="10"/>
  <c r="FZ29" i="10"/>
  <c r="FZ32" i="10"/>
  <c r="FZ30" i="10"/>
  <c r="FZ28" i="10"/>
  <c r="FZ34" i="10" l="1"/>
  <c r="E27" i="5" s="1"/>
  <c r="E28" i="5" s="1"/>
  <c r="D9" i="3" s="1"/>
  <c r="FZ52" i="10"/>
  <c r="FZ64" i="10"/>
  <c r="FZ56" i="10"/>
  <c r="FZ68" i="10"/>
  <c r="FY72" i="10"/>
  <c r="FY70" i="10" s="1"/>
  <c r="FZ22" i="10"/>
  <c r="E5" i="5" s="1"/>
  <c r="FZ71" i="10" l="1"/>
  <c r="E7" i="5"/>
  <c r="FZ72" i="10"/>
  <c r="FZ58" i="10"/>
  <c r="E9" i="5" s="1"/>
  <c r="D5" i="3"/>
  <c r="E5" i="3"/>
  <c r="FZ70" i="10" l="1"/>
  <c r="E10" i="5" s="1"/>
  <c r="E11" i="5" s="1"/>
  <c r="E11" i="4" s="1"/>
  <c r="C20" i="1"/>
  <c r="B19" i="1"/>
  <c r="B20" i="1"/>
  <c r="I5" i="1"/>
  <c r="D6" i="3" l="1"/>
  <c r="P6" i="2"/>
  <c r="P7" i="2"/>
  <c r="P8" i="2"/>
  <c r="Q6" i="2"/>
  <c r="Q7" i="2"/>
  <c r="Q8" i="2"/>
  <c r="Q9" i="2"/>
  <c r="R6" i="2"/>
  <c r="R7" i="2"/>
  <c r="R8" i="2"/>
  <c r="R9" i="2"/>
  <c r="R5" i="2"/>
  <c r="P5" i="2"/>
  <c r="Q5" i="2"/>
  <c r="H2" i="2"/>
  <c r="K2" i="2" s="1"/>
  <c r="E18" i="5" l="1"/>
  <c r="E14" i="4" a="1"/>
  <c r="E14" i="4" s="1"/>
  <c r="D11" i="4"/>
  <c r="E21" i="5" l="1"/>
  <c r="D14" i="4"/>
  <c r="D7" i="3" l="1"/>
  <c r="E23" i="5"/>
  <c r="D8" i="3" l="1"/>
  <c r="E30" i="5"/>
  <c r="D10" i="3" s="1"/>
  <c r="D16" i="3" l="1"/>
  <c r="D19" i="3" s="1"/>
  <c r="D88" i="3"/>
  <c r="D29" i="3"/>
  <c r="D28" i="3"/>
  <c r="D35" i="3"/>
  <c r="F9" i="1"/>
  <c r="D42" i="3" l="1"/>
  <c r="D89" i="3"/>
  <c r="D91" i="3" s="1"/>
  <c r="D6" i="4"/>
  <c r="D93" i="3" l="1"/>
  <c r="G19" i="6"/>
  <c r="E3" i="7"/>
  <c r="E4" i="7" s="1"/>
  <c r="E6" i="7" s="1"/>
  <c r="E27" i="3" s="1"/>
  <c r="H19" i="6" l="1"/>
  <c r="E12" i="3"/>
  <c r="F3" i="7"/>
  <c r="F4" i="7" s="1"/>
  <c r="F6" i="7" s="1"/>
  <c r="F27" i="3" s="1"/>
  <c r="E7" i="7"/>
  <c r="E30" i="3" s="1"/>
  <c r="G39" i="6"/>
  <c r="G46" i="6"/>
  <c r="G5" i="4"/>
  <c r="F5" i="3"/>
  <c r="F5" i="4"/>
  <c r="F4" i="5"/>
  <c r="G4" i="5"/>
  <c r="F7" i="7" l="1"/>
  <c r="F30" i="3" s="1"/>
  <c r="H46" i="6"/>
  <c r="H39" i="6"/>
  <c r="I19" i="6"/>
  <c r="G3" i="7"/>
  <c r="F12" i="3"/>
  <c r="G12" i="3" s="1"/>
  <c r="H4" i="5"/>
  <c r="H5" i="4"/>
  <c r="G5" i="3"/>
  <c r="G7" i="7"/>
  <c r="G30" i="3" s="1"/>
  <c r="H3" i="7"/>
  <c r="G4" i="7"/>
  <c r="G6" i="7" s="1"/>
  <c r="G27" i="3" s="1"/>
  <c r="G9" i="5"/>
  <c r="G27" i="5"/>
  <c r="G6" i="5"/>
  <c r="G25" i="5"/>
  <c r="G10" i="5"/>
  <c r="G5" i="5"/>
  <c r="G18" i="4"/>
  <c r="G20" i="4" s="1"/>
  <c r="G26" i="5" s="1"/>
  <c r="G47" i="6"/>
  <c r="F47" i="6" s="1"/>
  <c r="F9" i="4"/>
  <c r="F16" i="5" s="1"/>
  <c r="F7" i="4"/>
  <c r="G7" i="4" s="1"/>
  <c r="G14" i="5" s="1"/>
  <c r="F6" i="4"/>
  <c r="G6" i="4" s="1"/>
  <c r="G13" i="5" s="1"/>
  <c r="F18" i="4"/>
  <c r="F20" i="4" s="1"/>
  <c r="F26" i="5" s="1"/>
  <c r="F14" i="4"/>
  <c r="F21" i="5" s="1"/>
  <c r="F11" i="4"/>
  <c r="F18" i="5" s="1"/>
  <c r="F8" i="4"/>
  <c r="G8" i="4" s="1"/>
  <c r="G15" i="5" s="1"/>
  <c r="F10" i="4"/>
  <c r="G10" i="4" s="1"/>
  <c r="G17" i="5" s="1"/>
  <c r="F13" i="4"/>
  <c r="G13" i="4" s="1"/>
  <c r="G20" i="5" s="1"/>
  <c r="F12" i="4"/>
  <c r="F19" i="5" s="1"/>
  <c r="F9" i="5"/>
  <c r="F5" i="5"/>
  <c r="F27" i="5"/>
  <c r="F10" i="5"/>
  <c r="F6" i="5"/>
  <c r="F25" i="5"/>
  <c r="H47" i="6" l="1"/>
  <c r="J19" i="6"/>
  <c r="I46" i="6"/>
  <c r="I39" i="6"/>
  <c r="F20" i="5"/>
  <c r="F14" i="5"/>
  <c r="F17" i="5"/>
  <c r="G28" i="5"/>
  <c r="F9" i="3" s="1"/>
  <c r="F28" i="5"/>
  <c r="E9" i="3" s="1"/>
  <c r="F7" i="5"/>
  <c r="F11" i="5" s="1"/>
  <c r="E6" i="3" s="1"/>
  <c r="G12" i="4"/>
  <c r="G19" i="5" s="1"/>
  <c r="G9" i="4"/>
  <c r="G16" i="5" s="1"/>
  <c r="G14" i="4"/>
  <c r="G21" i="5" s="1"/>
  <c r="F7" i="3" s="1"/>
  <c r="G7" i="5"/>
  <c r="G11" i="5" s="1"/>
  <c r="F6" i="3" s="1"/>
  <c r="E7" i="3"/>
  <c r="H4" i="7"/>
  <c r="H6" i="7" s="1"/>
  <c r="H27" i="3" s="1"/>
  <c r="I3" i="7"/>
  <c r="H7" i="7"/>
  <c r="H30" i="3" s="1"/>
  <c r="H9" i="5"/>
  <c r="H5" i="5"/>
  <c r="H10" i="5"/>
  <c r="H27" i="5"/>
  <c r="H25" i="5"/>
  <c r="H6" i="5"/>
  <c r="F13" i="5"/>
  <c r="G11" i="4"/>
  <c r="G18" i="5" s="1"/>
  <c r="H7" i="4"/>
  <c r="H14" i="5" s="1"/>
  <c r="H6" i="4"/>
  <c r="H13" i="5" s="1"/>
  <c r="H8" i="4"/>
  <c r="H15" i="5" s="1"/>
  <c r="H10" i="4"/>
  <c r="H17" i="5" s="1"/>
  <c r="H13" i="4"/>
  <c r="H20" i="5" s="1"/>
  <c r="H18" i="4"/>
  <c r="H20" i="4" s="1"/>
  <c r="H26" i="5" s="1"/>
  <c r="I5" i="4"/>
  <c r="H5" i="3"/>
  <c r="H12" i="3"/>
  <c r="I4" i="5"/>
  <c r="F15" i="5"/>
  <c r="I47" i="6" l="1"/>
  <c r="K19" i="6"/>
  <c r="J39" i="6"/>
  <c r="J46" i="6"/>
  <c r="F23" i="5"/>
  <c r="F30" i="5" s="1"/>
  <c r="H7" i="5"/>
  <c r="H11" i="5" s="1"/>
  <c r="G6" i="3" s="1"/>
  <c r="H11" i="4"/>
  <c r="H18" i="5" s="1"/>
  <c r="H14" i="4"/>
  <c r="H21" i="5" s="1"/>
  <c r="G7" i="3" s="1"/>
  <c r="G23" i="5"/>
  <c r="G30" i="5" s="1"/>
  <c r="H12" i="4"/>
  <c r="H19" i="5" s="1"/>
  <c r="H9" i="4"/>
  <c r="H16" i="5" s="1"/>
  <c r="H28" i="5"/>
  <c r="I4" i="7"/>
  <c r="I6" i="7" s="1"/>
  <c r="I27" i="3" s="1"/>
  <c r="I7" i="7"/>
  <c r="I30" i="3" s="1"/>
  <c r="J3" i="7"/>
  <c r="I6" i="4"/>
  <c r="I13" i="5" s="1"/>
  <c r="I7" i="4"/>
  <c r="I14" i="5" s="1"/>
  <c r="I10" i="4"/>
  <c r="I17" i="5" s="1"/>
  <c r="I8" i="4"/>
  <c r="I15" i="5" s="1"/>
  <c r="I18" i="4"/>
  <c r="I20" i="4" s="1"/>
  <c r="I26" i="5" s="1"/>
  <c r="I13" i="4"/>
  <c r="I20" i="5" s="1"/>
  <c r="I6" i="5"/>
  <c r="I25" i="5"/>
  <c r="I9" i="5"/>
  <c r="I5" i="5"/>
  <c r="I27" i="5"/>
  <c r="I10" i="5"/>
  <c r="E8" i="3"/>
  <c r="I5" i="3"/>
  <c r="I12" i="3"/>
  <c r="J5" i="4"/>
  <c r="J4" i="5"/>
  <c r="J47" i="6" l="1"/>
  <c r="K39" i="6"/>
  <c r="L19" i="6"/>
  <c r="K46" i="6"/>
  <c r="I11" i="4"/>
  <c r="I18" i="5" s="1"/>
  <c r="D13" i="3"/>
  <c r="F8" i="3"/>
  <c r="F10" i="1" s="1"/>
  <c r="I14" i="4"/>
  <c r="I21" i="5" s="1"/>
  <c r="H7" i="3" s="1"/>
  <c r="H23" i="5"/>
  <c r="G8" i="3" s="1"/>
  <c r="I9" i="4"/>
  <c r="I16" i="5" s="1"/>
  <c r="I12" i="4"/>
  <c r="I19" i="5" s="1"/>
  <c r="I28" i="5"/>
  <c r="H9" i="3" s="1"/>
  <c r="I7" i="5"/>
  <c r="I11" i="5" s="1"/>
  <c r="H6" i="3" s="1"/>
  <c r="J4" i="7"/>
  <c r="J6" i="7" s="1"/>
  <c r="J27" i="3" s="1"/>
  <c r="J7" i="7"/>
  <c r="J30" i="3" s="1"/>
  <c r="K3" i="7"/>
  <c r="G9" i="3"/>
  <c r="K5" i="4"/>
  <c r="K4" i="5"/>
  <c r="J5" i="3"/>
  <c r="J12" i="3"/>
  <c r="E28" i="3"/>
  <c r="E29" i="3"/>
  <c r="J27" i="5"/>
  <c r="J10" i="5"/>
  <c r="J6" i="5"/>
  <c r="J25" i="5"/>
  <c r="J5" i="5"/>
  <c r="J9" i="5"/>
  <c r="E10" i="3"/>
  <c r="E88" i="3" s="1"/>
  <c r="J6" i="4"/>
  <c r="J13" i="5" s="1"/>
  <c r="J8" i="4"/>
  <c r="J15" i="5" s="1"/>
  <c r="J7" i="4"/>
  <c r="J14" i="5" s="1"/>
  <c r="J18" i="4"/>
  <c r="J20" i="4" s="1"/>
  <c r="J26" i="5" s="1"/>
  <c r="J10" i="4"/>
  <c r="J17" i="5" s="1"/>
  <c r="J13" i="4"/>
  <c r="J20" i="5" s="1"/>
  <c r="F10" i="3"/>
  <c r="F88" i="3" s="1"/>
  <c r="K47" i="6" l="1"/>
  <c r="D24" i="3"/>
  <c r="D90" i="3"/>
  <c r="E89" i="3"/>
  <c r="E91" i="3" s="1"/>
  <c r="F89" i="3"/>
  <c r="F91" i="3" s="1"/>
  <c r="F93" i="3" s="1"/>
  <c r="D14" i="3"/>
  <c r="M19" i="6"/>
  <c r="L39" i="6"/>
  <c r="L46" i="6"/>
  <c r="J11" i="4"/>
  <c r="J18" i="5" s="1"/>
  <c r="F29" i="3"/>
  <c r="J9" i="4"/>
  <c r="J16" i="5" s="1"/>
  <c r="F16" i="3"/>
  <c r="F19" i="3" s="1"/>
  <c r="E16" i="3"/>
  <c r="E19" i="3" s="1"/>
  <c r="F28" i="3"/>
  <c r="J14" i="4"/>
  <c r="J21" i="5" s="1"/>
  <c r="I7" i="3" s="1"/>
  <c r="F13" i="3"/>
  <c r="F14" i="3" s="1"/>
  <c r="E13" i="3"/>
  <c r="E14" i="3" s="1"/>
  <c r="J12" i="4"/>
  <c r="J19" i="5" s="1"/>
  <c r="I23" i="5"/>
  <c r="H8" i="3" s="1"/>
  <c r="H30" i="5"/>
  <c r="G10" i="3" s="1"/>
  <c r="G88" i="3" s="1"/>
  <c r="J28" i="5"/>
  <c r="I9" i="3" s="1"/>
  <c r="J7" i="5"/>
  <c r="J11" i="5" s="1"/>
  <c r="I6" i="3" s="1"/>
  <c r="K10" i="4"/>
  <c r="K17" i="5" s="1"/>
  <c r="K13" i="4"/>
  <c r="K20" i="5" s="1"/>
  <c r="K7" i="4"/>
  <c r="K14" i="5" s="1"/>
  <c r="K6" i="4"/>
  <c r="K13" i="5" s="1"/>
  <c r="K18" i="4"/>
  <c r="K20" i="4" s="1"/>
  <c r="K26" i="5" s="1"/>
  <c r="K8" i="4"/>
  <c r="K15" i="5" s="1"/>
  <c r="F35" i="3"/>
  <c r="L4" i="5"/>
  <c r="L5" i="4"/>
  <c r="K5" i="3"/>
  <c r="K12" i="3"/>
  <c r="G28" i="3"/>
  <c r="G29" i="3"/>
  <c r="E35" i="3"/>
  <c r="K4" i="7"/>
  <c r="K6" i="7" s="1"/>
  <c r="K27" i="3" s="1"/>
  <c r="K7" i="7"/>
  <c r="K30" i="3" s="1"/>
  <c r="L3" i="7"/>
  <c r="K10" i="5"/>
  <c r="K5" i="5"/>
  <c r="K6" i="5"/>
  <c r="K25" i="5"/>
  <c r="K27" i="5"/>
  <c r="K9" i="5"/>
  <c r="F90" i="3" l="1"/>
  <c r="L47" i="6"/>
  <c r="E93" i="3"/>
  <c r="E90" i="3"/>
  <c r="G89" i="3"/>
  <c r="G91" i="3" s="1"/>
  <c r="E24" i="3"/>
  <c r="F24" i="3"/>
  <c r="K11" i="4"/>
  <c r="K18" i="5" s="1"/>
  <c r="K9" i="4"/>
  <c r="K16" i="5" s="1"/>
  <c r="M39" i="6"/>
  <c r="N19" i="6"/>
  <c r="M46" i="6"/>
  <c r="K7" i="5"/>
  <c r="K11" i="5" s="1"/>
  <c r="J6" i="3" s="1"/>
  <c r="G16" i="3"/>
  <c r="G19" i="3" s="1"/>
  <c r="K12" i="4"/>
  <c r="K19" i="5" s="1"/>
  <c r="K14" i="4"/>
  <c r="K21" i="5" s="1"/>
  <c r="J7" i="3" s="1"/>
  <c r="J23" i="5"/>
  <c r="I8" i="3" s="1"/>
  <c r="G13" i="3"/>
  <c r="G14" i="3" s="1"/>
  <c r="I30" i="5"/>
  <c r="H10" i="3" s="1"/>
  <c r="H88" i="3" s="1"/>
  <c r="K28" i="5"/>
  <c r="J9" i="3" s="1"/>
  <c r="F42" i="3"/>
  <c r="G35" i="3"/>
  <c r="L7" i="7"/>
  <c r="L30" i="3" s="1"/>
  <c r="M3" i="7"/>
  <c r="L4" i="7"/>
  <c r="L6" i="7" s="1"/>
  <c r="L27" i="3" s="1"/>
  <c r="H29" i="3"/>
  <c r="H28" i="3"/>
  <c r="L27" i="5"/>
  <c r="L5" i="5"/>
  <c r="L6" i="5"/>
  <c r="L25" i="5"/>
  <c r="L9" i="5"/>
  <c r="L10" i="5"/>
  <c r="M4" i="5"/>
  <c r="M5" i="4"/>
  <c r="L5" i="3"/>
  <c r="L12" i="3"/>
  <c r="L7" i="4"/>
  <c r="L14" i="5" s="1"/>
  <c r="L8" i="4"/>
  <c r="L15" i="5" s="1"/>
  <c r="L18" i="4"/>
  <c r="L20" i="4" s="1"/>
  <c r="L26" i="5" s="1"/>
  <c r="L10" i="4"/>
  <c r="L17" i="5" s="1"/>
  <c r="L13" i="4"/>
  <c r="L20" i="5" s="1"/>
  <c r="L6" i="4"/>
  <c r="L13" i="5" s="1"/>
  <c r="E42" i="3"/>
  <c r="M47" i="6" l="1"/>
  <c r="G93" i="3"/>
  <c r="G90" i="3"/>
  <c r="L9" i="4"/>
  <c r="L16" i="5" s="1"/>
  <c r="H89" i="3"/>
  <c r="H91" i="3" s="1"/>
  <c r="H93" i="3" s="1"/>
  <c r="G24" i="3"/>
  <c r="L11" i="4"/>
  <c r="L18" i="5" s="1"/>
  <c r="L14" i="4"/>
  <c r="L21" i="5" s="1"/>
  <c r="K7" i="3" s="1"/>
  <c r="N46" i="6"/>
  <c r="O19" i="6"/>
  <c r="N39" i="6"/>
  <c r="L12" i="4"/>
  <c r="L19" i="5" s="1"/>
  <c r="H16" i="3"/>
  <c r="H19" i="3" s="1"/>
  <c r="J30" i="5"/>
  <c r="I10" i="3" s="1"/>
  <c r="I88" i="3" s="1"/>
  <c r="H13" i="3"/>
  <c r="H14" i="3" s="1"/>
  <c r="K23" i="5"/>
  <c r="J8" i="3" s="1"/>
  <c r="L7" i="5"/>
  <c r="L11" i="5" s="1"/>
  <c r="L28" i="5"/>
  <c r="K9" i="3" s="1"/>
  <c r="I28" i="3"/>
  <c r="I29" i="3"/>
  <c r="H35" i="3"/>
  <c r="M8" i="4"/>
  <c r="M15" i="5" s="1"/>
  <c r="M13" i="4"/>
  <c r="M20" i="5" s="1"/>
  <c r="M7" i="4"/>
  <c r="M14" i="5" s="1"/>
  <c r="M9" i="4"/>
  <c r="M16" i="5" s="1"/>
  <c r="M10" i="4"/>
  <c r="M17" i="5" s="1"/>
  <c r="M6" i="4"/>
  <c r="M13" i="5" s="1"/>
  <c r="M18" i="4"/>
  <c r="M20" i="4" s="1"/>
  <c r="M26" i="5" s="1"/>
  <c r="M12" i="3"/>
  <c r="N5" i="4"/>
  <c r="M5" i="3"/>
  <c r="N4" i="5"/>
  <c r="G42" i="3"/>
  <c r="M5" i="5"/>
  <c r="M10" i="5"/>
  <c r="M27" i="5"/>
  <c r="M6" i="5"/>
  <c r="M25" i="5"/>
  <c r="M9" i="5"/>
  <c r="M7" i="7"/>
  <c r="M30" i="3" s="1"/>
  <c r="M4" i="7"/>
  <c r="M6" i="7" s="1"/>
  <c r="M27" i="3" s="1"/>
  <c r="N3" i="7"/>
  <c r="N47" i="6" l="1"/>
  <c r="H90" i="3"/>
  <c r="I89" i="3"/>
  <c r="I91" i="3" s="1"/>
  <c r="I93" i="3" s="1"/>
  <c r="H24" i="3"/>
  <c r="M11" i="4"/>
  <c r="M18" i="5" s="1"/>
  <c r="M14" i="4"/>
  <c r="M21" i="5" s="1"/>
  <c r="L7" i="3" s="1"/>
  <c r="M12" i="4"/>
  <c r="M19" i="5" s="1"/>
  <c r="P19" i="6"/>
  <c r="O46" i="6"/>
  <c r="O39" i="6"/>
  <c r="K30" i="5"/>
  <c r="J10" i="3" s="1"/>
  <c r="J88" i="3" s="1"/>
  <c r="I16" i="3"/>
  <c r="I19" i="3" s="1"/>
  <c r="K6" i="3"/>
  <c r="L23" i="5"/>
  <c r="K8" i="3" s="1"/>
  <c r="I13" i="3"/>
  <c r="I14" i="3" s="1"/>
  <c r="M28" i="5"/>
  <c r="L9" i="3" s="1"/>
  <c r="M7" i="5"/>
  <c r="M11" i="5" s="1"/>
  <c r="L6" i="3" s="1"/>
  <c r="E68" i="3"/>
  <c r="E48" i="3"/>
  <c r="E32" i="3"/>
  <c r="N9" i="5"/>
  <c r="N25" i="5"/>
  <c r="N10" i="5"/>
  <c r="N6" i="5"/>
  <c r="N5" i="5"/>
  <c r="N27" i="5"/>
  <c r="O5" i="4"/>
  <c r="N12" i="3"/>
  <c r="O4" i="5"/>
  <c r="N5" i="3"/>
  <c r="I35" i="3"/>
  <c r="N6" i="4"/>
  <c r="N13" i="5" s="1"/>
  <c r="N9" i="4"/>
  <c r="N16" i="5" s="1"/>
  <c r="N13" i="4"/>
  <c r="N20" i="5" s="1"/>
  <c r="N8" i="4"/>
  <c r="N15" i="5" s="1"/>
  <c r="N18" i="4"/>
  <c r="N20" i="4" s="1"/>
  <c r="N26" i="5" s="1"/>
  <c r="N10" i="4"/>
  <c r="N17" i="5" s="1"/>
  <c r="N7" i="4"/>
  <c r="N14" i="5" s="1"/>
  <c r="J29" i="3"/>
  <c r="J28" i="3"/>
  <c r="N7" i="7"/>
  <c r="N30" i="3" s="1"/>
  <c r="N4" i="7"/>
  <c r="N6" i="7" s="1"/>
  <c r="N27" i="3" s="1"/>
  <c r="O3" i="7"/>
  <c r="H42" i="3"/>
  <c r="O47" i="6" l="1"/>
  <c r="H48" i="6"/>
  <c r="H51" i="6" s="1"/>
  <c r="N12" i="4"/>
  <c r="N19" i="5" s="1"/>
  <c r="J89" i="3"/>
  <c r="J91" i="3" s="1"/>
  <c r="J93" i="3" s="1"/>
  <c r="I90" i="3"/>
  <c r="N11" i="4"/>
  <c r="N18" i="5" s="1"/>
  <c r="N14" i="4"/>
  <c r="N21" i="5" s="1"/>
  <c r="M7" i="3" s="1"/>
  <c r="I24" i="3"/>
  <c r="P46" i="6"/>
  <c r="Q19" i="6"/>
  <c r="P39" i="6"/>
  <c r="J16" i="3"/>
  <c r="J19" i="3" s="1"/>
  <c r="M23" i="5"/>
  <c r="L8" i="3" s="1"/>
  <c r="L30" i="5"/>
  <c r="K10" i="3" s="1"/>
  <c r="K88" i="3" s="1"/>
  <c r="J13" i="3"/>
  <c r="J14" i="3" s="1"/>
  <c r="N7" i="5"/>
  <c r="N11" i="5" s="1"/>
  <c r="M6" i="3" s="1"/>
  <c r="E76" i="3"/>
  <c r="E85" i="3"/>
  <c r="E53" i="3"/>
  <c r="E59" i="3"/>
  <c r="E58" i="3"/>
  <c r="E74" i="3"/>
  <c r="E60" i="3"/>
  <c r="E57" i="3"/>
  <c r="E62" i="3"/>
  <c r="E52" i="3"/>
  <c r="E82" i="3"/>
  <c r="E63" i="3"/>
  <c r="E84" i="3"/>
  <c r="E51" i="3"/>
  <c r="E64" i="3"/>
  <c r="E79" i="3"/>
  <c r="E80" i="3"/>
  <c r="E81" i="3"/>
  <c r="E75" i="3"/>
  <c r="E54" i="3"/>
  <c r="E56" i="3"/>
  <c r="E73" i="3"/>
  <c r="E78" i="3"/>
  <c r="E77" i="3"/>
  <c r="E61" i="3"/>
  <c r="E72" i="3"/>
  <c r="E83" i="3"/>
  <c r="E55" i="3"/>
  <c r="E65" i="3"/>
  <c r="F48" i="3"/>
  <c r="F32" i="3"/>
  <c r="F68" i="3"/>
  <c r="N28" i="5"/>
  <c r="M9" i="3" s="1"/>
  <c r="O4" i="7"/>
  <c r="O6" i="7" s="1"/>
  <c r="O27" i="3" s="1"/>
  <c r="O7" i="7"/>
  <c r="O30" i="3" s="1"/>
  <c r="P3" i="7"/>
  <c r="K29" i="3"/>
  <c r="K28" i="3"/>
  <c r="O6" i="5"/>
  <c r="O9" i="5"/>
  <c r="O5" i="5"/>
  <c r="O27" i="5"/>
  <c r="O10" i="5"/>
  <c r="O25" i="5"/>
  <c r="O5" i="3"/>
  <c r="O12" i="3"/>
  <c r="P5" i="4"/>
  <c r="P4" i="5"/>
  <c r="J35" i="3"/>
  <c r="I42" i="3"/>
  <c r="O13" i="4"/>
  <c r="O20" i="5" s="1"/>
  <c r="O8" i="4"/>
  <c r="O15" i="5" s="1"/>
  <c r="O18" i="4"/>
  <c r="O20" i="4" s="1"/>
  <c r="O26" i="5" s="1"/>
  <c r="O6" i="4"/>
  <c r="O13" i="5" s="1"/>
  <c r="O10" i="4"/>
  <c r="O17" i="5" s="1"/>
  <c r="O9" i="4"/>
  <c r="O16" i="5" s="1"/>
  <c r="O12" i="4"/>
  <c r="O19" i="5" s="1"/>
  <c r="O7" i="4"/>
  <c r="O14" i="5" s="1"/>
  <c r="O14" i="4" l="1"/>
  <c r="O21" i="5" s="1"/>
  <c r="N7" i="3" s="1"/>
  <c r="H67" i="6"/>
  <c r="H40" i="6" s="1"/>
  <c r="H60" i="6"/>
  <c r="H26" i="6" s="1"/>
  <c r="H77" i="6"/>
  <c r="P47" i="6"/>
  <c r="I48" i="6"/>
  <c r="I51" i="6" s="1"/>
  <c r="O11" i="4"/>
  <c r="O18" i="5" s="1"/>
  <c r="K89" i="3"/>
  <c r="K91" i="3" s="1"/>
  <c r="K93" i="3" s="1"/>
  <c r="J90" i="3"/>
  <c r="J24" i="3"/>
  <c r="M30" i="5"/>
  <c r="L10" i="3" s="1"/>
  <c r="L88" i="3" s="1"/>
  <c r="Q39" i="6"/>
  <c r="Q46" i="6"/>
  <c r="R19" i="6"/>
  <c r="P27" i="5"/>
  <c r="P25" i="5"/>
  <c r="K16" i="3"/>
  <c r="K19" i="3" s="1"/>
  <c r="K13" i="3"/>
  <c r="K14" i="3" s="1"/>
  <c r="O28" i="5"/>
  <c r="N9" i="3" s="1"/>
  <c r="N23" i="5"/>
  <c r="M8" i="3" s="1"/>
  <c r="O7" i="5"/>
  <c r="O11" i="5" s="1"/>
  <c r="N6" i="3" s="1"/>
  <c r="F54" i="3"/>
  <c r="F77" i="3"/>
  <c r="F78" i="3"/>
  <c r="F58" i="3"/>
  <c r="F61" i="3"/>
  <c r="F62" i="3"/>
  <c r="F53" i="3"/>
  <c r="F79" i="3"/>
  <c r="F57" i="3"/>
  <c r="F74" i="3"/>
  <c r="F72" i="3"/>
  <c r="F56" i="3"/>
  <c r="F64" i="3"/>
  <c r="F55" i="3"/>
  <c r="F76" i="3"/>
  <c r="F52" i="3"/>
  <c r="F51" i="3"/>
  <c r="F73" i="3"/>
  <c r="F65" i="3"/>
  <c r="F84" i="3"/>
  <c r="F75" i="3"/>
  <c r="F81" i="3"/>
  <c r="F80" i="3"/>
  <c r="F60" i="3"/>
  <c r="F59" i="3"/>
  <c r="F83" i="3"/>
  <c r="F82" i="3"/>
  <c r="F63" i="3"/>
  <c r="F85" i="3"/>
  <c r="G68" i="3"/>
  <c r="G32" i="3"/>
  <c r="G48" i="3"/>
  <c r="P5" i="3"/>
  <c r="P12" i="3"/>
  <c r="Q4" i="5"/>
  <c r="Q5" i="4"/>
  <c r="K35" i="3"/>
  <c r="L28" i="3"/>
  <c r="L29" i="3"/>
  <c r="P7" i="7"/>
  <c r="P30" i="3" s="1"/>
  <c r="P4" i="7"/>
  <c r="P6" i="7" s="1"/>
  <c r="P27" i="3" s="1"/>
  <c r="Q3" i="7"/>
  <c r="J42" i="3"/>
  <c r="P10" i="5"/>
  <c r="P6" i="5"/>
  <c r="P9" i="5"/>
  <c r="P5" i="5"/>
  <c r="P8" i="4"/>
  <c r="P15" i="5" s="1"/>
  <c r="P18" i="4"/>
  <c r="P20" i="4" s="1"/>
  <c r="P26" i="5" s="1"/>
  <c r="P10" i="4"/>
  <c r="P17" i="5" s="1"/>
  <c r="P9" i="4"/>
  <c r="P16" i="5" s="1"/>
  <c r="P6" i="4"/>
  <c r="P13" i="5" s="1"/>
  <c r="P13" i="4"/>
  <c r="P20" i="5" s="1"/>
  <c r="P14" i="4"/>
  <c r="P21" i="5" s="1"/>
  <c r="P12" i="4"/>
  <c r="P19" i="5" s="1"/>
  <c r="P7" i="4"/>
  <c r="P14" i="5" s="1"/>
  <c r="P11" i="4" l="1"/>
  <c r="P18" i="5" s="1"/>
  <c r="I67" i="6"/>
  <c r="I40" i="6" s="1"/>
  <c r="I77" i="6"/>
  <c r="I60" i="6"/>
  <c r="I26" i="6" s="1"/>
  <c r="Q47" i="6"/>
  <c r="J48" i="6"/>
  <c r="J51" i="6" s="1"/>
  <c r="L89" i="3"/>
  <c r="L91" i="3" s="1"/>
  <c r="L93" i="3" s="1"/>
  <c r="K90" i="3"/>
  <c r="K24" i="3"/>
  <c r="S19" i="6"/>
  <c r="R46" i="6"/>
  <c r="R39" i="6"/>
  <c r="P28" i="5"/>
  <c r="L16" i="3"/>
  <c r="L19" i="3" s="1"/>
  <c r="N30" i="5"/>
  <c r="M10" i="3" s="1"/>
  <c r="M88" i="3" s="1"/>
  <c r="Q25" i="5"/>
  <c r="Q27" i="5"/>
  <c r="O23" i="5"/>
  <c r="O30" i="5" s="1"/>
  <c r="L13" i="3"/>
  <c r="L14" i="3" s="1"/>
  <c r="H68" i="3"/>
  <c r="H48" i="3"/>
  <c r="H32" i="3"/>
  <c r="P7" i="5"/>
  <c r="P11" i="5" s="1"/>
  <c r="G52" i="3"/>
  <c r="G85" i="3"/>
  <c r="G74" i="3"/>
  <c r="G81" i="3"/>
  <c r="G82" i="3"/>
  <c r="G78" i="3"/>
  <c r="G83" i="3"/>
  <c r="G80" i="3"/>
  <c r="G55" i="3"/>
  <c r="G76" i="3"/>
  <c r="G64" i="3"/>
  <c r="G59" i="3"/>
  <c r="G62" i="3"/>
  <c r="G63" i="3"/>
  <c r="G61" i="3"/>
  <c r="G73" i="3"/>
  <c r="G72" i="3"/>
  <c r="G57" i="3"/>
  <c r="G58" i="3"/>
  <c r="G84" i="3"/>
  <c r="G56" i="3"/>
  <c r="G75" i="3"/>
  <c r="G54" i="3"/>
  <c r="G79" i="3"/>
  <c r="G77" i="3"/>
  <c r="G60" i="3"/>
  <c r="G51" i="3"/>
  <c r="G53" i="3"/>
  <c r="G65" i="3"/>
  <c r="R3" i="7"/>
  <c r="Q7" i="7"/>
  <c r="Q30" i="3" s="1"/>
  <c r="Q4" i="7"/>
  <c r="Q6" i="7" s="1"/>
  <c r="Q27" i="3" s="1"/>
  <c r="L35" i="3"/>
  <c r="M29" i="3"/>
  <c r="M28" i="3"/>
  <c r="O7" i="3"/>
  <c r="K42" i="3"/>
  <c r="Q18" i="4"/>
  <c r="Q20" i="4" s="1"/>
  <c r="Q26" i="5" s="1"/>
  <c r="Q9" i="4"/>
  <c r="Q16" i="5" s="1"/>
  <c r="Q14" i="4"/>
  <c r="Q21" i="5" s="1"/>
  <c r="P7" i="3" s="1"/>
  <c r="Q13" i="4"/>
  <c r="Q20" i="5" s="1"/>
  <c r="Q12" i="4"/>
  <c r="Q19" i="5" s="1"/>
  <c r="Q6" i="4"/>
  <c r="Q13" i="5" s="1"/>
  <c r="Q7" i="4"/>
  <c r="Q14" i="5" s="1"/>
  <c r="Q11" i="4"/>
  <c r="Q18" i="5" s="1"/>
  <c r="Q8" i="4"/>
  <c r="Q15" i="5" s="1"/>
  <c r="Q10" i="4"/>
  <c r="Q17" i="5" s="1"/>
  <c r="Q6" i="5"/>
  <c r="Q10" i="5"/>
  <c r="Q9" i="5"/>
  <c r="Q5" i="5"/>
  <c r="Q12" i="3"/>
  <c r="Q5" i="3"/>
  <c r="R5" i="4"/>
  <c r="R4" i="5"/>
  <c r="R47" i="6" l="1"/>
  <c r="J60" i="6"/>
  <c r="J26" i="6" s="1"/>
  <c r="J67" i="6"/>
  <c r="J40" i="6" s="1"/>
  <c r="J77" i="6"/>
  <c r="K48" i="6"/>
  <c r="K51" i="6" s="1"/>
  <c r="M89" i="3"/>
  <c r="M91" i="3" s="1"/>
  <c r="M93" i="3" s="1"/>
  <c r="L90" i="3"/>
  <c r="L24" i="3"/>
  <c r="T19" i="6"/>
  <c r="S39" i="6"/>
  <c r="S46" i="6"/>
  <c r="N8" i="3"/>
  <c r="N29" i="3" s="1"/>
  <c r="Q28" i="5"/>
  <c r="P9" i="3" s="1"/>
  <c r="R27" i="5"/>
  <c r="R25" i="5"/>
  <c r="D11" i="5"/>
  <c r="P23" i="5"/>
  <c r="P30" i="5" s="1"/>
  <c r="M16" i="3"/>
  <c r="M13" i="3"/>
  <c r="M90" i="3" s="1"/>
  <c r="D9" i="5"/>
  <c r="D10" i="5"/>
  <c r="D6" i="5"/>
  <c r="I48" i="3"/>
  <c r="I32" i="3"/>
  <c r="I68" i="3"/>
  <c r="O6" i="3"/>
  <c r="H57" i="3"/>
  <c r="H65" i="3"/>
  <c r="H51" i="3"/>
  <c r="H81" i="3"/>
  <c r="H60" i="3"/>
  <c r="H76" i="3"/>
  <c r="H56" i="3"/>
  <c r="H52" i="3"/>
  <c r="H80" i="3"/>
  <c r="H59" i="3"/>
  <c r="H72" i="3"/>
  <c r="H62" i="3"/>
  <c r="H84" i="3"/>
  <c r="H63" i="3"/>
  <c r="H61" i="3"/>
  <c r="H73" i="3"/>
  <c r="H55" i="3"/>
  <c r="H64" i="3"/>
  <c r="H79" i="3"/>
  <c r="H58" i="3"/>
  <c r="H74" i="3"/>
  <c r="H82" i="3"/>
  <c r="H77" i="3"/>
  <c r="H85" i="3"/>
  <c r="H78" i="3"/>
  <c r="H83" i="3"/>
  <c r="H54" i="3"/>
  <c r="H53" i="3"/>
  <c r="H75" i="3"/>
  <c r="Q7" i="5"/>
  <c r="Q11" i="5" s="1"/>
  <c r="D21" i="5"/>
  <c r="R7" i="4"/>
  <c r="R14" i="5" s="1"/>
  <c r="R11" i="4"/>
  <c r="R18" i="5" s="1"/>
  <c r="R8" i="4"/>
  <c r="R15" i="5" s="1"/>
  <c r="R13" i="4"/>
  <c r="R20" i="5" s="1"/>
  <c r="R6" i="4"/>
  <c r="R13" i="5" s="1"/>
  <c r="R18" i="4"/>
  <c r="R20" i="4" s="1"/>
  <c r="R26" i="5" s="1"/>
  <c r="R9" i="4"/>
  <c r="R16" i="5" s="1"/>
  <c r="R12" i="4"/>
  <c r="R19" i="5" s="1"/>
  <c r="R14" i="4"/>
  <c r="R21" i="5" s="1"/>
  <c r="Q7" i="3" s="1"/>
  <c r="R10" i="4"/>
  <c r="R17" i="5" s="1"/>
  <c r="R7" i="7"/>
  <c r="R30" i="3" s="1"/>
  <c r="R4" i="7"/>
  <c r="R6" i="7" s="1"/>
  <c r="R27" i="3" s="1"/>
  <c r="N10" i="3"/>
  <c r="N88" i="3" s="1"/>
  <c r="L42" i="3"/>
  <c r="M35" i="3"/>
  <c r="S5" i="4"/>
  <c r="R12" i="3"/>
  <c r="R5" i="3"/>
  <c r="S4" i="5"/>
  <c r="R10" i="5"/>
  <c r="R9" i="5"/>
  <c r="R5" i="5"/>
  <c r="R6" i="5"/>
  <c r="D28" i="5"/>
  <c r="O9" i="3"/>
  <c r="N13" i="3" l="1"/>
  <c r="N14" i="3" s="1"/>
  <c r="K67" i="6"/>
  <c r="K40" i="6" s="1"/>
  <c r="K60" i="6"/>
  <c r="K26" i="6" s="1"/>
  <c r="K77" i="6"/>
  <c r="S47" i="6"/>
  <c r="L48" i="6"/>
  <c r="L51" i="6" s="1"/>
  <c r="N89" i="3"/>
  <c r="N91" i="3" s="1"/>
  <c r="N93" i="3" s="1"/>
  <c r="N90" i="3"/>
  <c r="N28" i="3"/>
  <c r="T39" i="6"/>
  <c r="T46" i="6"/>
  <c r="U19" i="6"/>
  <c r="R7" i="5"/>
  <c r="R11" i="5" s="1"/>
  <c r="M14" i="3"/>
  <c r="M19" i="3"/>
  <c r="M24" i="3" s="1"/>
  <c r="R28" i="5"/>
  <c r="Q9" i="3" s="1"/>
  <c r="P6" i="3"/>
  <c r="Q23" i="5"/>
  <c r="Q30" i="5" s="1"/>
  <c r="N16" i="3"/>
  <c r="N19" i="3" s="1"/>
  <c r="N24" i="3" s="1"/>
  <c r="O8" i="3"/>
  <c r="O13" i="3" s="1"/>
  <c r="O14" i="3" s="1"/>
  <c r="D23" i="5"/>
  <c r="J32" i="3"/>
  <c r="J48" i="3"/>
  <c r="J68" i="3"/>
  <c r="I59" i="3"/>
  <c r="I60" i="3"/>
  <c r="I84" i="3"/>
  <c r="I77" i="3"/>
  <c r="I61" i="3"/>
  <c r="I80" i="3"/>
  <c r="I65" i="3"/>
  <c r="I53" i="3"/>
  <c r="I51" i="3"/>
  <c r="I56" i="3"/>
  <c r="I73" i="3"/>
  <c r="I62" i="3"/>
  <c r="I78" i="3"/>
  <c r="I74" i="3"/>
  <c r="I64" i="3"/>
  <c r="I63" i="3"/>
  <c r="I81" i="3"/>
  <c r="I54" i="3"/>
  <c r="I55" i="3"/>
  <c r="I57" i="3"/>
  <c r="I75" i="3"/>
  <c r="I76" i="3"/>
  <c r="I79" i="3"/>
  <c r="I58" i="3"/>
  <c r="I83" i="3"/>
  <c r="I82" i="3"/>
  <c r="I52" i="3"/>
  <c r="I85" i="3"/>
  <c r="I72" i="3"/>
  <c r="O10" i="3"/>
  <c r="O88" i="3" s="1"/>
  <c r="D30" i="5"/>
  <c r="S12" i="4"/>
  <c r="S19" i="5" s="1"/>
  <c r="S6" i="4"/>
  <c r="S13" i="5" s="1"/>
  <c r="S11" i="4"/>
  <c r="S18" i="5" s="1"/>
  <c r="S18" i="4"/>
  <c r="S20" i="4" s="1"/>
  <c r="S26" i="5" s="1"/>
  <c r="S8" i="4"/>
  <c r="S15" i="5" s="1"/>
  <c r="S9" i="4"/>
  <c r="S16" i="5" s="1"/>
  <c r="S10" i="4"/>
  <c r="S17" i="5" s="1"/>
  <c r="S13" i="4"/>
  <c r="S20" i="5" s="1"/>
  <c r="S7" i="4"/>
  <c r="S14" i="5" s="1"/>
  <c r="S14" i="4"/>
  <c r="S21" i="5" s="1"/>
  <c r="R7" i="3" s="1"/>
  <c r="N35" i="3"/>
  <c r="S25" i="5"/>
  <c r="S9" i="5"/>
  <c r="S10" i="5"/>
  <c r="S27" i="5"/>
  <c r="S5" i="5"/>
  <c r="S6" i="5"/>
  <c r="T47" i="6" l="1"/>
  <c r="L77" i="6"/>
  <c r="L60" i="6"/>
  <c r="L26" i="6" s="1"/>
  <c r="L67" i="6"/>
  <c r="L40" i="6" s="1"/>
  <c r="M48" i="6"/>
  <c r="M51" i="6" s="1"/>
  <c r="O90" i="3"/>
  <c r="O89" i="3"/>
  <c r="O91" i="3" s="1"/>
  <c r="O93" i="3" s="1"/>
  <c r="U46" i="6"/>
  <c r="U39" i="6"/>
  <c r="D39" i="6" s="1"/>
  <c r="P8" i="3"/>
  <c r="P13" i="3" s="1"/>
  <c r="P14" i="3" s="1"/>
  <c r="O28" i="3"/>
  <c r="O29" i="3"/>
  <c r="Q6" i="3"/>
  <c r="R23" i="5"/>
  <c r="R30" i="5" s="1"/>
  <c r="O16" i="3"/>
  <c r="O19" i="3" s="1"/>
  <c r="O24" i="3" s="1"/>
  <c r="S7" i="5"/>
  <c r="S11" i="5" s="1"/>
  <c r="R6" i="3" s="1"/>
  <c r="S28" i="5"/>
  <c r="R9" i="3" s="1"/>
  <c r="K32" i="3"/>
  <c r="K48" i="3"/>
  <c r="K68" i="3"/>
  <c r="J83" i="3"/>
  <c r="J52" i="3"/>
  <c r="J73" i="3"/>
  <c r="J74" i="3"/>
  <c r="J63" i="3"/>
  <c r="J82" i="3"/>
  <c r="J64" i="3"/>
  <c r="J79" i="3"/>
  <c r="J65" i="3"/>
  <c r="J78" i="3"/>
  <c r="J56" i="3"/>
  <c r="J81" i="3"/>
  <c r="J61" i="3"/>
  <c r="J51" i="3"/>
  <c r="J59" i="3"/>
  <c r="J62" i="3"/>
  <c r="J85" i="3"/>
  <c r="J80" i="3"/>
  <c r="J60" i="3"/>
  <c r="J84" i="3"/>
  <c r="J54" i="3"/>
  <c r="J77" i="3"/>
  <c r="J58" i="3"/>
  <c r="J57" i="3"/>
  <c r="J76" i="3"/>
  <c r="J75" i="3"/>
  <c r="J55" i="3"/>
  <c r="J72" i="3"/>
  <c r="J53" i="3"/>
  <c r="P10" i="3"/>
  <c r="P88" i="3" s="1"/>
  <c r="O32" i="3"/>
  <c r="O48" i="3"/>
  <c r="O68" i="3"/>
  <c r="N42" i="3"/>
  <c r="O35" i="3"/>
  <c r="U47" i="6" l="1"/>
  <c r="M60" i="6"/>
  <c r="M26" i="6" s="1"/>
  <c r="M77" i="6"/>
  <c r="M67" i="6"/>
  <c r="M40" i="6" s="1"/>
  <c r="N48" i="6"/>
  <c r="N51" i="6" s="1"/>
  <c r="R48" i="6"/>
  <c r="R51" i="6" s="1"/>
  <c r="P89" i="3"/>
  <c r="P91" i="3" s="1"/>
  <c r="P93" i="3" s="1"/>
  <c r="P90" i="3"/>
  <c r="Q8" i="3"/>
  <c r="Q13" i="3" s="1"/>
  <c r="Q14" i="3" s="1"/>
  <c r="P28" i="3"/>
  <c r="P29" i="3"/>
  <c r="S23" i="5"/>
  <c r="R8" i="3" s="1"/>
  <c r="R13" i="3" s="1"/>
  <c r="P16" i="3"/>
  <c r="P19" i="3" s="1"/>
  <c r="P24" i="3" s="1"/>
  <c r="K59" i="3"/>
  <c r="K83" i="3"/>
  <c r="K75" i="3"/>
  <c r="K82" i="3"/>
  <c r="K52" i="3"/>
  <c r="K84" i="3"/>
  <c r="K53" i="3"/>
  <c r="K81" i="3"/>
  <c r="K72" i="3"/>
  <c r="K63" i="3"/>
  <c r="K55" i="3"/>
  <c r="K64" i="3"/>
  <c r="K79" i="3"/>
  <c r="K58" i="3"/>
  <c r="K62" i="3"/>
  <c r="K77" i="3"/>
  <c r="K74" i="3"/>
  <c r="K80" i="3"/>
  <c r="K85" i="3"/>
  <c r="K60" i="3"/>
  <c r="K76" i="3"/>
  <c r="K65" i="3"/>
  <c r="K78" i="3"/>
  <c r="K61" i="3"/>
  <c r="K51" i="3"/>
  <c r="K57" i="3"/>
  <c r="K73" i="3"/>
  <c r="K54" i="3"/>
  <c r="K56" i="3"/>
  <c r="L48" i="3"/>
  <c r="L32" i="3"/>
  <c r="L68" i="3"/>
  <c r="P35" i="3"/>
  <c r="O42" i="3"/>
  <c r="Q10" i="3"/>
  <c r="Q88" i="3" s="1"/>
  <c r="O76" i="3"/>
  <c r="O64" i="3"/>
  <c r="O51" i="3"/>
  <c r="O82" i="3"/>
  <c r="O60" i="3"/>
  <c r="O62" i="3"/>
  <c r="O74" i="3"/>
  <c r="O55" i="3"/>
  <c r="O52" i="3"/>
  <c r="O78" i="3"/>
  <c r="O65" i="3"/>
  <c r="O53" i="3"/>
  <c r="O54" i="3"/>
  <c r="O72" i="3"/>
  <c r="O59" i="3"/>
  <c r="O58" i="3"/>
  <c r="O85" i="3"/>
  <c r="O75" i="3"/>
  <c r="O73" i="3"/>
  <c r="O63" i="3"/>
  <c r="O61" i="3"/>
  <c r="O83" i="3"/>
  <c r="O84" i="3"/>
  <c r="O56" i="3"/>
  <c r="O57" i="3"/>
  <c r="O77" i="3"/>
  <c r="P48" i="3"/>
  <c r="P32" i="3"/>
  <c r="P68" i="3"/>
  <c r="S30" i="5" l="1"/>
  <c r="N67" i="6"/>
  <c r="N40" i="6" s="1"/>
  <c r="N77" i="6"/>
  <c r="N60" i="6"/>
  <c r="N26" i="6" s="1"/>
  <c r="R77" i="6"/>
  <c r="R60" i="6"/>
  <c r="R26" i="6" s="1"/>
  <c r="R67" i="6"/>
  <c r="R40" i="6" s="1"/>
  <c r="O48" i="6"/>
  <c r="O51" i="6" s="1"/>
  <c r="S48" i="6"/>
  <c r="S51" i="6" s="1"/>
  <c r="Q29" i="3"/>
  <c r="Q28" i="3"/>
  <c r="Q89" i="3"/>
  <c r="Q91" i="3" s="1"/>
  <c r="Q93" i="3" s="1"/>
  <c r="Q90" i="3"/>
  <c r="O79" i="3"/>
  <c r="Q16" i="3"/>
  <c r="Q19" i="3" s="1"/>
  <c r="Q24" i="3" s="1"/>
  <c r="R14" i="3"/>
  <c r="L54" i="3"/>
  <c r="L74" i="3"/>
  <c r="L79" i="3"/>
  <c r="L78" i="3"/>
  <c r="L57" i="3"/>
  <c r="L85" i="3"/>
  <c r="L53" i="3"/>
  <c r="L80" i="3"/>
  <c r="L52" i="3"/>
  <c r="L56" i="3"/>
  <c r="L59" i="3"/>
  <c r="L84" i="3"/>
  <c r="L75" i="3"/>
  <c r="L63" i="3"/>
  <c r="L60" i="3"/>
  <c r="L58" i="3"/>
  <c r="L72" i="3"/>
  <c r="L77" i="3"/>
  <c r="L82" i="3"/>
  <c r="L64" i="3"/>
  <c r="L62" i="3"/>
  <c r="L81" i="3"/>
  <c r="L51" i="3"/>
  <c r="L61" i="3"/>
  <c r="L73" i="3"/>
  <c r="L83" i="3"/>
  <c r="L65" i="3"/>
  <c r="L55" i="3"/>
  <c r="L76" i="3"/>
  <c r="M68" i="3"/>
  <c r="M48" i="3"/>
  <c r="M32" i="3"/>
  <c r="P42" i="3"/>
  <c r="R28" i="3"/>
  <c r="R29" i="3"/>
  <c r="R10" i="3"/>
  <c r="R88" i="3" s="1"/>
  <c r="Q68" i="3"/>
  <c r="Q32" i="3"/>
  <c r="Q48" i="3"/>
  <c r="Q35" i="3"/>
  <c r="P63" i="3"/>
  <c r="P85" i="3"/>
  <c r="P74" i="3"/>
  <c r="P62" i="3"/>
  <c r="P53" i="3"/>
  <c r="P73" i="3"/>
  <c r="P64" i="3"/>
  <c r="P56" i="3"/>
  <c r="P61" i="3"/>
  <c r="P83" i="3"/>
  <c r="P60" i="3"/>
  <c r="P82" i="3"/>
  <c r="P76" i="3"/>
  <c r="P75" i="3"/>
  <c r="P51" i="3"/>
  <c r="P84" i="3"/>
  <c r="P77" i="3"/>
  <c r="P65" i="3"/>
  <c r="P57" i="3"/>
  <c r="P78" i="3"/>
  <c r="P55" i="3"/>
  <c r="P54" i="3"/>
  <c r="P59" i="3"/>
  <c r="P79" i="3"/>
  <c r="P52" i="3"/>
  <c r="P72" i="3"/>
  <c r="P58" i="3"/>
  <c r="O67" i="6" l="1"/>
  <c r="O40" i="6" s="1"/>
  <c r="O77" i="6"/>
  <c r="O60" i="6"/>
  <c r="O26" i="6" s="1"/>
  <c r="S60" i="6"/>
  <c r="S26" i="6" s="1"/>
  <c r="S67" i="6"/>
  <c r="S40" i="6" s="1"/>
  <c r="S77" i="6"/>
  <c r="T48" i="6"/>
  <c r="T51" i="6" s="1"/>
  <c r="C31" i="1"/>
  <c r="C30" i="1"/>
  <c r="P48" i="6"/>
  <c r="P51" i="6" s="1"/>
  <c r="R89" i="3"/>
  <c r="R90" i="3"/>
  <c r="R16" i="3"/>
  <c r="R19" i="3" s="1"/>
  <c r="M42" i="3"/>
  <c r="O80" i="3"/>
  <c r="P80" i="3"/>
  <c r="M65" i="3"/>
  <c r="M63" i="3"/>
  <c r="M58" i="3"/>
  <c r="M77" i="3"/>
  <c r="M75" i="3"/>
  <c r="M62" i="3"/>
  <c r="M61" i="3"/>
  <c r="M72" i="3"/>
  <c r="M84" i="3"/>
  <c r="M83" i="3"/>
  <c r="M81" i="3"/>
  <c r="M52" i="3"/>
  <c r="M80" i="3"/>
  <c r="M78" i="3"/>
  <c r="M59" i="3"/>
  <c r="M76" i="3"/>
  <c r="M74" i="3"/>
  <c r="M57" i="3"/>
  <c r="M60" i="3"/>
  <c r="M51" i="3"/>
  <c r="M71" i="3"/>
  <c r="M54" i="3"/>
  <c r="M73" i="3"/>
  <c r="M55" i="3"/>
  <c r="M79" i="3"/>
  <c r="M53" i="3"/>
  <c r="M64" i="3"/>
  <c r="M56" i="3"/>
  <c r="M82" i="3"/>
  <c r="M85" i="3"/>
  <c r="D68" i="3"/>
  <c r="D32" i="3"/>
  <c r="D48" i="3"/>
  <c r="Q42" i="3"/>
  <c r="R35" i="3"/>
  <c r="R32" i="3"/>
  <c r="R68" i="3"/>
  <c r="R48" i="3"/>
  <c r="Q79" i="3"/>
  <c r="Q65" i="3"/>
  <c r="Q56" i="3"/>
  <c r="Q82" i="3"/>
  <c r="Q74" i="3"/>
  <c r="Q53" i="3"/>
  <c r="Q57" i="3"/>
  <c r="Q54" i="3"/>
  <c r="Q75" i="3"/>
  <c r="Q60" i="3"/>
  <c r="Q84" i="3"/>
  <c r="Q78" i="3"/>
  <c r="Q85" i="3"/>
  <c r="Q58" i="3"/>
  <c r="Q73" i="3"/>
  <c r="Q62" i="3"/>
  <c r="Q55" i="3"/>
  <c r="Q59" i="3"/>
  <c r="Q51" i="3"/>
  <c r="Q83" i="3"/>
  <c r="Q64" i="3"/>
  <c r="Q61" i="3"/>
  <c r="Q76" i="3"/>
  <c r="Q52" i="3"/>
  <c r="Q63" i="3"/>
  <c r="Q80" i="3"/>
  <c r="Q77" i="3"/>
  <c r="Q72" i="3"/>
  <c r="R91" i="3" l="1"/>
  <c r="T67" i="6"/>
  <c r="T40" i="6" s="1"/>
  <c r="T77" i="6"/>
  <c r="T60" i="6"/>
  <c r="T26" i="6" s="1"/>
  <c r="P77" i="6"/>
  <c r="P60" i="6"/>
  <c r="P26" i="6" s="1"/>
  <c r="P67" i="6"/>
  <c r="P40" i="6" s="1"/>
  <c r="R93" i="3"/>
  <c r="C93" i="3" s="1"/>
  <c r="C94" i="3"/>
  <c r="U48" i="6"/>
  <c r="G48" i="6"/>
  <c r="G51" i="6" s="1"/>
  <c r="R24" i="3"/>
  <c r="C19" i="1"/>
  <c r="D51" i="3"/>
  <c r="D71" i="3"/>
  <c r="Q71" i="3"/>
  <c r="Q33" i="3" s="1"/>
  <c r="M33" i="3"/>
  <c r="O71" i="3"/>
  <c r="P71" i="3"/>
  <c r="N68" i="3"/>
  <c r="N32" i="3"/>
  <c r="N48" i="3"/>
  <c r="D64" i="3"/>
  <c r="D63" i="3"/>
  <c r="D85" i="3"/>
  <c r="D75" i="3"/>
  <c r="D73" i="3"/>
  <c r="D61" i="3"/>
  <c r="D74" i="3"/>
  <c r="D80" i="3"/>
  <c r="D54" i="3"/>
  <c r="D55" i="3"/>
  <c r="D72" i="3"/>
  <c r="D65" i="3"/>
  <c r="D62" i="3"/>
  <c r="D79" i="3"/>
  <c r="D60" i="3"/>
  <c r="D58" i="3"/>
  <c r="D78" i="3"/>
  <c r="D82" i="3"/>
  <c r="D57" i="3"/>
  <c r="D77" i="3"/>
  <c r="D52" i="3"/>
  <c r="D76" i="3"/>
  <c r="D81" i="3"/>
  <c r="D84" i="3"/>
  <c r="D53" i="3"/>
  <c r="D56" i="3"/>
  <c r="D83" i="3"/>
  <c r="D59" i="3"/>
  <c r="E71" i="3"/>
  <c r="F71" i="3"/>
  <c r="G71" i="3"/>
  <c r="H71" i="3"/>
  <c r="I71" i="3"/>
  <c r="J71" i="3"/>
  <c r="K71" i="3"/>
  <c r="L71" i="3"/>
  <c r="R77" i="3"/>
  <c r="R54" i="3"/>
  <c r="R58" i="3"/>
  <c r="R85" i="3"/>
  <c r="R56" i="3"/>
  <c r="R64" i="3"/>
  <c r="R76" i="3"/>
  <c r="R82" i="3"/>
  <c r="R79" i="3"/>
  <c r="R51" i="3"/>
  <c r="R80" i="3"/>
  <c r="R83" i="3"/>
  <c r="R62" i="3"/>
  <c r="R72" i="3"/>
  <c r="R73" i="3"/>
  <c r="R55" i="3"/>
  <c r="R74" i="3"/>
  <c r="R75" i="3"/>
  <c r="R53" i="3"/>
  <c r="R65" i="3"/>
  <c r="R71" i="3"/>
  <c r="R33" i="3" s="1"/>
  <c r="R52" i="3"/>
  <c r="R63" i="3"/>
  <c r="R84" i="3"/>
  <c r="R57" i="3"/>
  <c r="R78" i="3"/>
  <c r="R61" i="3"/>
  <c r="R60" i="3"/>
  <c r="R59" i="3"/>
  <c r="R42" i="3"/>
  <c r="G77" i="6" l="1"/>
  <c r="G60" i="6"/>
  <c r="G26" i="6" s="1"/>
  <c r="G67" i="6"/>
  <c r="G40" i="6" s="1"/>
  <c r="C18" i="1"/>
  <c r="I5" i="11"/>
  <c r="Q48" i="6"/>
  <c r="Q51" i="6" s="1"/>
  <c r="D33" i="3"/>
  <c r="O81" i="3"/>
  <c r="P81" i="3"/>
  <c r="Q81" i="3"/>
  <c r="P33" i="3"/>
  <c r="R81" i="3"/>
  <c r="O33" i="3"/>
  <c r="N52" i="3"/>
  <c r="N54" i="3"/>
  <c r="N64" i="3"/>
  <c r="N80" i="3"/>
  <c r="N59" i="3"/>
  <c r="N51" i="3"/>
  <c r="N81" i="3"/>
  <c r="N79" i="3"/>
  <c r="N78" i="3"/>
  <c r="N82" i="3"/>
  <c r="N85" i="3"/>
  <c r="N53" i="3"/>
  <c r="N75" i="3"/>
  <c r="N60" i="3"/>
  <c r="N61" i="3"/>
  <c r="N55" i="3"/>
  <c r="N77" i="3"/>
  <c r="N63" i="3"/>
  <c r="N62" i="3"/>
  <c r="N57" i="3"/>
  <c r="N71" i="3"/>
  <c r="N33" i="3" s="1"/>
  <c r="N73" i="3"/>
  <c r="N58" i="3"/>
  <c r="N76" i="3"/>
  <c r="N56" i="3"/>
  <c r="N65" i="3"/>
  <c r="N72" i="3"/>
  <c r="N83" i="3"/>
  <c r="N74" i="3"/>
  <c r="N84" i="3"/>
  <c r="H33" i="3"/>
  <c r="L33" i="3"/>
  <c r="I33" i="3"/>
  <c r="K33" i="3"/>
  <c r="G33" i="3"/>
  <c r="E33" i="3"/>
  <c r="J33" i="3"/>
  <c r="F33" i="3"/>
  <c r="F12" i="1"/>
  <c r="U51" i="6"/>
  <c r="F20" i="1" l="1"/>
  <c r="S5" i="11" s="1"/>
  <c r="U60" i="6"/>
  <c r="U26" i="6" s="1"/>
  <c r="U67" i="6"/>
  <c r="U40" i="6" s="1"/>
  <c r="U77" i="6"/>
  <c r="Q77" i="6"/>
  <c r="Q60" i="6"/>
  <c r="Q26" i="6" s="1"/>
  <c r="Q67" i="6"/>
  <c r="Q40" i="6" s="1"/>
  <c r="F8" i="1"/>
  <c r="F6" i="1"/>
  <c r="F7" i="1"/>
  <c r="G5" i="11"/>
  <c r="T5" i="11" s="1"/>
  <c r="J5" i="11" s="1"/>
  <c r="H5" i="11" l="1"/>
  <c r="F11" i="1"/>
  <c r="D50" i="3"/>
  <c r="H50" i="3"/>
  <c r="O50" i="3"/>
  <c r="L50" i="3"/>
  <c r="F50" i="3"/>
  <c r="I50" i="3"/>
  <c r="K50" i="3"/>
  <c r="P50" i="3"/>
  <c r="M50" i="3"/>
  <c r="J50" i="3"/>
  <c r="Q50" i="3"/>
  <c r="F21" i="1"/>
  <c r="E50" i="3"/>
  <c r="N50" i="3"/>
  <c r="R50" i="3"/>
  <c r="F23" i="1"/>
  <c r="G50" i="3"/>
  <c r="D25" i="3"/>
  <c r="N25" i="3"/>
  <c r="E22" i="3" l="1"/>
  <c r="E17" i="3"/>
  <c r="E49" i="3"/>
  <c r="E21" i="3" s="1"/>
  <c r="M22" i="3"/>
  <c r="M49" i="3"/>
  <c r="M21" i="3" s="1"/>
  <c r="M17" i="3"/>
  <c r="Q17" i="3"/>
  <c r="Q49" i="3"/>
  <c r="Q21" i="3" s="1"/>
  <c r="Q22" i="3"/>
  <c r="H17" i="3"/>
  <c r="H49" i="3"/>
  <c r="H21" i="3" s="1"/>
  <c r="H22" i="3"/>
  <c r="L49" i="3"/>
  <c r="L21" i="3" s="1"/>
  <c r="L17" i="3"/>
  <c r="L22" i="3"/>
  <c r="G17" i="3"/>
  <c r="G22" i="3"/>
  <c r="G49" i="3"/>
  <c r="G21" i="3" s="1"/>
  <c r="P17" i="3"/>
  <c r="P22" i="3"/>
  <c r="P49" i="3"/>
  <c r="P21" i="3" s="1"/>
  <c r="K17" i="3"/>
  <c r="K49" i="3"/>
  <c r="K21" i="3" s="1"/>
  <c r="K22" i="3"/>
  <c r="I17" i="3"/>
  <c r="I22" i="3"/>
  <c r="I49" i="3"/>
  <c r="I21" i="3" s="1"/>
  <c r="O22" i="3"/>
  <c r="O49" i="3"/>
  <c r="O21" i="3" s="1"/>
  <c r="O17" i="3"/>
  <c r="K70" i="3"/>
  <c r="M70" i="3"/>
  <c r="E70" i="3"/>
  <c r="G70" i="3"/>
  <c r="I70" i="3"/>
  <c r="O70" i="3"/>
  <c r="L70" i="3"/>
  <c r="Q70" i="3"/>
  <c r="R70" i="3"/>
  <c r="F48" i="6"/>
  <c r="F70" i="3"/>
  <c r="H70" i="3"/>
  <c r="J70" i="3"/>
  <c r="P70" i="3"/>
  <c r="N70" i="3"/>
  <c r="D70" i="3"/>
  <c r="D17" i="3"/>
  <c r="D18" i="3" s="1"/>
  <c r="D49" i="3"/>
  <c r="D21" i="3" s="1"/>
  <c r="D22" i="3"/>
  <c r="F49" i="3"/>
  <c r="F21" i="3" s="1"/>
  <c r="F22" i="3"/>
  <c r="F17" i="3"/>
  <c r="R17" i="3"/>
  <c r="R22" i="3"/>
  <c r="C23" i="1" s="1"/>
  <c r="R49" i="3"/>
  <c r="R21" i="3" s="1"/>
  <c r="C22" i="1" s="1"/>
  <c r="J17" i="3"/>
  <c r="J49" i="3"/>
  <c r="J21" i="3" s="1"/>
  <c r="J22" i="3"/>
  <c r="N49" i="3"/>
  <c r="N21" i="3" s="1"/>
  <c r="N22" i="3"/>
  <c r="N17" i="3"/>
  <c r="G18" i="3" l="1"/>
  <c r="G25" i="3" s="1"/>
  <c r="F18" i="3"/>
  <c r="F25" i="3" s="1"/>
  <c r="F51" i="6"/>
  <c r="K9" i="6"/>
  <c r="H18" i="3"/>
  <c r="H25" i="3" s="1"/>
  <c r="O18" i="3"/>
  <c r="O25" i="3" s="1"/>
  <c r="J36" i="3"/>
  <c r="J40" i="3"/>
  <c r="J69" i="3"/>
  <c r="J39" i="3" s="1"/>
  <c r="H40" i="3"/>
  <c r="H36" i="3"/>
  <c r="H69" i="3"/>
  <c r="H39" i="3" s="1"/>
  <c r="F40" i="3"/>
  <c r="F36" i="3"/>
  <c r="F69" i="3"/>
  <c r="F39" i="3" s="1"/>
  <c r="I18" i="3"/>
  <c r="I25" i="3" s="1"/>
  <c r="L18" i="3"/>
  <c r="L25" i="3" s="1"/>
  <c r="Q18" i="3"/>
  <c r="Q25" i="3" s="1"/>
  <c r="J18" i="3"/>
  <c r="J25" i="3" s="1"/>
  <c r="R36" i="3"/>
  <c r="R69" i="3"/>
  <c r="R39" i="3" s="1"/>
  <c r="C26" i="1" s="1"/>
  <c r="R40" i="3"/>
  <c r="C27" i="1" s="1"/>
  <c r="O36" i="3"/>
  <c r="O69" i="3"/>
  <c r="O39" i="3" s="1"/>
  <c r="O40" i="3"/>
  <c r="K18" i="3"/>
  <c r="K25" i="3" s="1"/>
  <c r="M18" i="3"/>
  <c r="M25" i="3" s="1"/>
  <c r="D40" i="3"/>
  <c r="D36" i="3"/>
  <c r="D37" i="3" s="1"/>
  <c r="D69" i="3"/>
  <c r="D39" i="3" s="1"/>
  <c r="N18" i="3"/>
  <c r="Q36" i="3"/>
  <c r="Q69" i="3"/>
  <c r="Q39" i="3" s="1"/>
  <c r="Q40" i="3"/>
  <c r="R18" i="3"/>
  <c r="I69" i="3"/>
  <c r="I39" i="3" s="1"/>
  <c r="I36" i="3"/>
  <c r="I40" i="3"/>
  <c r="G36" i="3"/>
  <c r="G40" i="3"/>
  <c r="G69" i="3"/>
  <c r="G39" i="3" s="1"/>
  <c r="L69" i="3"/>
  <c r="L39" i="3" s="1"/>
  <c r="L40" i="3"/>
  <c r="L36" i="3"/>
  <c r="E69" i="3"/>
  <c r="E39" i="3" s="1"/>
  <c r="E40" i="3"/>
  <c r="E36" i="3"/>
  <c r="P18" i="3"/>
  <c r="P25" i="3" s="1"/>
  <c r="N69" i="3"/>
  <c r="N39" i="3" s="1"/>
  <c r="N36" i="3"/>
  <c r="N40" i="3"/>
  <c r="P36" i="3"/>
  <c r="P40" i="3"/>
  <c r="P69" i="3"/>
  <c r="P39" i="3" s="1"/>
  <c r="M36" i="3"/>
  <c r="M69" i="3"/>
  <c r="M39" i="3" s="1"/>
  <c r="M40" i="3"/>
  <c r="E18" i="3"/>
  <c r="E25" i="3" s="1"/>
  <c r="K36" i="3"/>
  <c r="K40" i="3"/>
  <c r="K69" i="3"/>
  <c r="K39" i="3" s="1"/>
  <c r="E37" i="3" l="1"/>
  <c r="F67" i="6"/>
  <c r="F40" i="6" s="1"/>
  <c r="F60" i="6"/>
  <c r="F26" i="6" s="1"/>
  <c r="F77" i="6"/>
  <c r="I37" i="3"/>
  <c r="R37" i="3"/>
  <c r="C28" i="1" s="1"/>
  <c r="P37" i="3"/>
  <c r="Q37" i="3"/>
  <c r="L37" i="3"/>
  <c r="F37" i="3"/>
  <c r="K37" i="3"/>
  <c r="H37" i="3"/>
  <c r="M37" i="3"/>
  <c r="G37" i="3"/>
  <c r="O37" i="3"/>
  <c r="J37" i="3"/>
  <c r="R25" i="3"/>
  <c r="C24" i="1"/>
  <c r="N37" i="3"/>
  <c r="F53" i="6"/>
  <c r="D10" i="6"/>
  <c r="F54" i="6"/>
  <c r="F24" i="1" l="1"/>
  <c r="D9" i="6"/>
  <c r="J5" i="1" s="1"/>
  <c r="D8" i="6"/>
  <c r="J4" i="1" s="1"/>
  <c r="D26" i="6" l="1"/>
  <c r="E36" i="1" s="1"/>
  <c r="D40" i="6"/>
  <c r="C36" i="1" s="1"/>
  <c r="F62" i="6" l="1"/>
  <c r="F63" i="6" l="1"/>
  <c r="G59" i="6" s="1"/>
  <c r="G61" i="6" s="1"/>
  <c r="G74" i="6"/>
  <c r="G62" i="6" l="1"/>
  <c r="G63" i="6" l="1"/>
  <c r="H59" i="6" s="1"/>
  <c r="H74" i="6"/>
  <c r="H61" i="6" l="1"/>
  <c r="H62" i="6" s="1"/>
  <c r="H63" i="6" l="1"/>
  <c r="I59" i="6" s="1"/>
  <c r="I74" i="6"/>
  <c r="I61" i="6"/>
  <c r="I62" i="6" l="1"/>
  <c r="J74" i="6" l="1"/>
  <c r="I63" i="6"/>
  <c r="J59" i="6" s="1"/>
  <c r="J61" i="6" l="1"/>
  <c r="J62" i="6" s="1"/>
  <c r="K74" i="6" s="1"/>
  <c r="J63" i="6" l="1"/>
  <c r="K59" i="6" s="1"/>
  <c r="K61" i="6" l="1"/>
  <c r="K62" i="6" s="1"/>
  <c r="L74" i="6" s="1"/>
  <c r="K63" i="6" l="1"/>
  <c r="L59" i="6" s="1"/>
  <c r="L61" i="6" s="1"/>
  <c r="L62" i="6" l="1"/>
  <c r="M74" i="6" s="1"/>
  <c r="L63" i="6" l="1"/>
  <c r="M59" i="6" s="1"/>
  <c r="M61" i="6" s="1"/>
  <c r="M62" i="6" s="1"/>
  <c r="N74" i="6" s="1"/>
  <c r="M63" i="6" l="1"/>
  <c r="N59" i="6" s="1"/>
  <c r="N61" i="6" s="1"/>
  <c r="N62" i="6" s="1"/>
  <c r="O74" i="6" l="1"/>
  <c r="N63" i="6"/>
  <c r="O59" i="6" s="1"/>
  <c r="O61" i="6" s="1"/>
  <c r="O62" i="6" l="1"/>
  <c r="P74" i="6" s="1"/>
  <c r="O63" i="6" l="1"/>
  <c r="P59" i="6" s="1"/>
  <c r="P61" i="6" l="1"/>
  <c r="P62" i="6" s="1"/>
  <c r="Q74" i="6" s="1"/>
  <c r="P63" i="6" l="1"/>
  <c r="Q59" i="6" s="1"/>
  <c r="Q61" i="6"/>
  <c r="Q62" i="6" s="1"/>
  <c r="R74" i="6" s="1"/>
  <c r="Q63" i="6" l="1"/>
  <c r="R59" i="6" s="1"/>
  <c r="R61" i="6" l="1"/>
  <c r="R62" i="6" s="1"/>
  <c r="S74" i="6" s="1"/>
  <c r="R63" i="6" l="1"/>
  <c r="S59" i="6" s="1"/>
  <c r="S61" i="6" s="1"/>
  <c r="S62" i="6" s="1"/>
  <c r="T74" i="6" s="1"/>
  <c r="S63" i="6" l="1"/>
  <c r="T59" i="6" s="1"/>
  <c r="T61" i="6" l="1"/>
  <c r="T62" i="6" s="1"/>
  <c r="U74" i="6" s="1"/>
  <c r="T63" i="6" l="1"/>
  <c r="U59" i="6" s="1"/>
  <c r="U61" i="6" s="1"/>
  <c r="U62" i="6" s="1"/>
  <c r="U63" i="6" s="1"/>
  <c r="F73" i="6" l="1"/>
  <c r="F86" i="6"/>
  <c r="F88" i="6" s="1"/>
  <c r="F99" i="6"/>
  <c r="F101" i="6" s="1"/>
  <c r="F75" i="6" l="1"/>
  <c r="F78" i="6" s="1"/>
  <c r="G75" i="6"/>
  <c r="G78" i="6" s="1"/>
  <c r="H75" i="6"/>
  <c r="H78" i="6" s="1"/>
  <c r="I75" i="6"/>
  <c r="I78" i="6" s="1"/>
  <c r="J75" i="6"/>
  <c r="J78" i="6" s="1"/>
  <c r="K75" i="6"/>
  <c r="K78" i="6" s="1"/>
  <c r="L75" i="6"/>
  <c r="L78" i="6" s="1"/>
  <c r="M75" i="6"/>
  <c r="M78" i="6" s="1"/>
  <c r="N75" i="6"/>
  <c r="N78" i="6" s="1"/>
  <c r="O75" i="6"/>
  <c r="O78" i="6" s="1"/>
  <c r="P75" i="6"/>
  <c r="P78" i="6" s="1"/>
  <c r="Q75" i="6"/>
  <c r="Q78" i="6" s="1"/>
  <c r="R75" i="6"/>
  <c r="R78" i="6" s="1"/>
  <c r="S75" i="6"/>
  <c r="S78" i="6" s="1"/>
  <c r="T75" i="6"/>
  <c r="T78" i="6" s="1"/>
  <c r="U75" i="6"/>
  <c r="U78" i="6" s="1"/>
  <c r="S79" i="6" l="1"/>
  <c r="S69" i="6" s="1"/>
  <c r="P79" i="6"/>
  <c r="P69" i="6" s="1"/>
  <c r="L79" i="6"/>
  <c r="L69" i="6" s="1"/>
  <c r="J79" i="6"/>
  <c r="J69" i="6" s="1"/>
  <c r="T79" i="6"/>
  <c r="T69" i="6" s="1"/>
  <c r="N79" i="6"/>
  <c r="N69" i="6" s="1"/>
  <c r="K79" i="6"/>
  <c r="K69" i="6" s="1"/>
  <c r="U79" i="6"/>
  <c r="U69" i="6" s="1"/>
  <c r="Q79" i="6"/>
  <c r="Q69" i="6" s="1"/>
  <c r="N87" i="6"/>
  <c r="N88" i="6" s="1"/>
  <c r="M79" i="6"/>
  <c r="M69" i="6" s="1"/>
  <c r="I79" i="6"/>
  <c r="I69" i="6" s="1"/>
  <c r="H79" i="6"/>
  <c r="H69" i="6" s="1"/>
  <c r="G79" i="6"/>
  <c r="G69" i="6" s="1"/>
  <c r="R79" i="6"/>
  <c r="R69" i="6" s="1"/>
  <c r="O79" i="6"/>
  <c r="O69" i="6" s="1"/>
  <c r="G87" i="6"/>
  <c r="G88" i="6" s="1"/>
  <c r="F79" i="6"/>
  <c r="F80" i="6" s="1"/>
  <c r="F81" i="6" s="1"/>
  <c r="F90" i="6" s="1"/>
  <c r="F91" i="6" s="1"/>
  <c r="F92" i="6" s="1"/>
  <c r="F93" i="6" s="1"/>
  <c r="F94" i="6" s="1"/>
  <c r="F103" i="6" s="1"/>
  <c r="F104" i="6" s="1"/>
  <c r="F105" i="6" s="1"/>
  <c r="F106" i="6" s="1"/>
  <c r="F107" i="6" s="1"/>
  <c r="F111" i="6" s="1"/>
  <c r="H87" i="6"/>
  <c r="H88" i="6" s="1"/>
  <c r="I87" i="6"/>
  <c r="I88" i="6" s="1"/>
  <c r="J87" i="6"/>
  <c r="J88" i="6" s="1"/>
  <c r="K87" i="6"/>
  <c r="K88" i="6" s="1"/>
  <c r="L87" i="6"/>
  <c r="L88" i="6" s="1"/>
  <c r="M87" i="6"/>
  <c r="M88" i="6" s="1"/>
  <c r="O87" i="6"/>
  <c r="O88" i="6" s="1"/>
  <c r="P87" i="6"/>
  <c r="P88" i="6" s="1"/>
  <c r="Q87" i="6"/>
  <c r="Q88" i="6" s="1"/>
  <c r="R87" i="6"/>
  <c r="R88" i="6" s="1"/>
  <c r="S87" i="6"/>
  <c r="S88" i="6" s="1"/>
  <c r="T87" i="6"/>
  <c r="T88" i="6" s="1"/>
  <c r="U87" i="6"/>
  <c r="U88" i="6" s="1"/>
  <c r="Q80" i="6" l="1"/>
  <c r="Q81" i="6" s="1"/>
  <c r="Q90" i="6" s="1"/>
  <c r="I80" i="6"/>
  <c r="I81" i="6" s="1"/>
  <c r="I90" i="6" s="1"/>
  <c r="S80" i="6"/>
  <c r="S81" i="6" s="1"/>
  <c r="S90" i="6" s="1"/>
  <c r="S91" i="6" s="1"/>
  <c r="S92" i="6" s="1"/>
  <c r="S93" i="6" s="1"/>
  <c r="S94" i="6" s="1"/>
  <c r="S103" i="6" s="1"/>
  <c r="U80" i="6"/>
  <c r="U81" i="6" s="1"/>
  <c r="U90" i="6" s="1"/>
  <c r="U91" i="6" s="1"/>
  <c r="Q91" i="6"/>
  <c r="Q92" i="6" s="1"/>
  <c r="Q93" i="6" s="1"/>
  <c r="Q94" i="6" s="1"/>
  <c r="Q103" i="6" s="1"/>
  <c r="O80" i="6"/>
  <c r="O81" i="6" s="1"/>
  <c r="O90" i="6" s="1"/>
  <c r="O91" i="6" s="1"/>
  <c r="J80" i="6"/>
  <c r="J81" i="6" s="1"/>
  <c r="J90" i="6" s="1"/>
  <c r="J91" i="6" s="1"/>
  <c r="K80" i="6"/>
  <c r="K81" i="6" s="1"/>
  <c r="K90" i="6" s="1"/>
  <c r="K91" i="6" s="1"/>
  <c r="G80" i="6"/>
  <c r="G81" i="6" s="1"/>
  <c r="G90" i="6" s="1"/>
  <c r="G91" i="6" s="1"/>
  <c r="R80" i="6"/>
  <c r="R81" i="6" s="1"/>
  <c r="R90" i="6" s="1"/>
  <c r="I91" i="6"/>
  <c r="I92" i="6" s="1"/>
  <c r="I93" i="6" s="1"/>
  <c r="I94" i="6" s="1"/>
  <c r="I103" i="6" s="1"/>
  <c r="P80" i="6"/>
  <c r="P81" i="6" s="1"/>
  <c r="P90" i="6" s="1"/>
  <c r="P91" i="6" s="1"/>
  <c r="T80" i="6"/>
  <c r="T81" i="6" s="1"/>
  <c r="T90" i="6" s="1"/>
  <c r="T91" i="6" s="1"/>
  <c r="T92" i="6" s="1"/>
  <c r="T93" i="6" s="1"/>
  <c r="T94" i="6" s="1"/>
  <c r="T103" i="6" s="1"/>
  <c r="R91" i="6"/>
  <c r="R92" i="6" s="1"/>
  <c r="R93" i="6" s="1"/>
  <c r="R94" i="6" s="1"/>
  <c r="R103" i="6" s="1"/>
  <c r="H80" i="6"/>
  <c r="H81" i="6" s="1"/>
  <c r="H90" i="6" s="1"/>
  <c r="H91" i="6" s="1"/>
  <c r="H92" i="6" s="1"/>
  <c r="H93" i="6" s="1"/>
  <c r="H94" i="6" s="1"/>
  <c r="H103" i="6" s="1"/>
  <c r="M80" i="6"/>
  <c r="M81" i="6" s="1"/>
  <c r="M90" i="6" s="1"/>
  <c r="M91" i="6" s="1"/>
  <c r="G100" i="6"/>
  <c r="G101" i="6" s="1"/>
  <c r="L80" i="6"/>
  <c r="L81" i="6" s="1"/>
  <c r="L90" i="6" s="1"/>
  <c r="L91" i="6" s="1"/>
  <c r="F112" i="6"/>
  <c r="F113" i="6"/>
  <c r="F38" i="6" s="1"/>
  <c r="F69" i="6"/>
  <c r="F70" i="6" s="1"/>
  <c r="G66" i="6" s="1"/>
  <c r="G68" i="6" s="1"/>
  <c r="N80" i="6"/>
  <c r="N81" i="6" s="1"/>
  <c r="N90" i="6" s="1"/>
  <c r="N91" i="6" s="1"/>
  <c r="J100" i="6" l="1"/>
  <c r="J101" i="6" s="1"/>
  <c r="G70" i="6"/>
  <c r="H66" i="6" s="1"/>
  <c r="M92" i="6"/>
  <c r="M93" i="6" s="1"/>
  <c r="M94" i="6" s="1"/>
  <c r="M103" i="6" s="1"/>
  <c r="T100" i="6"/>
  <c r="T101" i="6" s="1"/>
  <c r="T104" i="6" s="1"/>
  <c r="R100" i="6"/>
  <c r="R101" i="6" s="1"/>
  <c r="R104" i="6" s="1"/>
  <c r="U100" i="6"/>
  <c r="U101" i="6" s="1"/>
  <c r="Q100" i="6"/>
  <c r="Q101" i="6" s="1"/>
  <c r="Q104" i="6" s="1"/>
  <c r="Q105" i="6" s="1"/>
  <c r="Q106" i="6" s="1"/>
  <c r="Q107" i="6" s="1"/>
  <c r="Q111" i="6" s="1"/>
  <c r="T105" i="6"/>
  <c r="T106" i="6" s="1"/>
  <c r="T107" i="6" s="1"/>
  <c r="T111" i="6" s="1"/>
  <c r="F114" i="6"/>
  <c r="F115" i="6" s="1"/>
  <c r="H68" i="6"/>
  <c r="H70" i="6" s="1"/>
  <c r="I66" i="6" s="1"/>
  <c r="P92" i="6"/>
  <c r="P93" i="6" s="1"/>
  <c r="P94" i="6" s="1"/>
  <c r="P103" i="6" s="1"/>
  <c r="R105" i="6"/>
  <c r="R106" i="6" s="1"/>
  <c r="R107" i="6" s="1"/>
  <c r="R111" i="6" s="1"/>
  <c r="F25" i="6"/>
  <c r="O100" i="6"/>
  <c r="O101" i="6" s="1"/>
  <c r="O104" i="6" s="1"/>
  <c r="O105" i="6" s="1"/>
  <c r="O106" i="6" s="1"/>
  <c r="O107" i="6" s="1"/>
  <c r="O111" i="6" s="1"/>
  <c r="G92" i="6"/>
  <c r="G93" i="6" s="1"/>
  <c r="G94" i="6" s="1"/>
  <c r="G103" i="6" s="1"/>
  <c r="G104" i="6" s="1"/>
  <c r="G105" i="6" s="1"/>
  <c r="G106" i="6" s="1"/>
  <c r="G107" i="6" s="1"/>
  <c r="G111" i="6" s="1"/>
  <c r="L100" i="6"/>
  <c r="L101" i="6" s="1"/>
  <c r="N100" i="6"/>
  <c r="N101" i="6" s="1"/>
  <c r="F43" i="6"/>
  <c r="P100" i="6"/>
  <c r="P101" i="6" s="1"/>
  <c r="N92" i="6"/>
  <c r="N93" i="6" s="1"/>
  <c r="N94" i="6" s="1"/>
  <c r="N103" i="6" s="1"/>
  <c r="S100" i="6"/>
  <c r="S101" i="6" s="1"/>
  <c r="S104" i="6" s="1"/>
  <c r="S105" i="6" s="1"/>
  <c r="S106" i="6" s="1"/>
  <c r="S107" i="6" s="1"/>
  <c r="S111" i="6" s="1"/>
  <c r="J92" i="6"/>
  <c r="J93" i="6" s="1"/>
  <c r="J94" i="6" s="1"/>
  <c r="J103" i="6" s="1"/>
  <c r="J104" i="6" s="1"/>
  <c r="J105" i="6" s="1"/>
  <c r="J106" i="6" s="1"/>
  <c r="J107" i="6" s="1"/>
  <c r="J111" i="6" s="1"/>
  <c r="I100" i="6"/>
  <c r="I101" i="6" s="1"/>
  <c r="I104" i="6" s="1"/>
  <c r="I105" i="6" s="1"/>
  <c r="I106" i="6" s="1"/>
  <c r="I107" i="6" s="1"/>
  <c r="I111" i="6" s="1"/>
  <c r="L92" i="6"/>
  <c r="L93" i="6" s="1"/>
  <c r="L94" i="6" s="1"/>
  <c r="L103" i="6" s="1"/>
  <c r="O92" i="6"/>
  <c r="O93" i="6" s="1"/>
  <c r="O94" i="6" s="1"/>
  <c r="O103" i="6" s="1"/>
  <c r="M100" i="6"/>
  <c r="M101" i="6" s="1"/>
  <c r="K100" i="6"/>
  <c r="K101" i="6" s="1"/>
  <c r="K92" i="6"/>
  <c r="K93" i="6" s="1"/>
  <c r="K94" i="6" s="1"/>
  <c r="K103" i="6" s="1"/>
  <c r="H100" i="6"/>
  <c r="H101" i="6" s="1"/>
  <c r="H104" i="6" s="1"/>
  <c r="U92" i="6"/>
  <c r="U93" i="6" s="1"/>
  <c r="U94" i="6" s="1"/>
  <c r="U103" i="6" s="1"/>
  <c r="U104" i="6" s="1"/>
  <c r="U105" i="6" s="1"/>
  <c r="U106" i="6" s="1"/>
  <c r="U107" i="6" s="1"/>
  <c r="U111" i="6" s="1"/>
  <c r="K104" i="6" l="1"/>
  <c r="K105" i="6" s="1"/>
  <c r="K106" i="6" s="1"/>
  <c r="K107" i="6" s="1"/>
  <c r="K111" i="6" s="1"/>
  <c r="M104" i="6"/>
  <c r="P104" i="6"/>
  <c r="P105" i="6" s="1"/>
  <c r="P106" i="6" s="1"/>
  <c r="P107" i="6" s="1"/>
  <c r="P111" i="6" s="1"/>
  <c r="P113" i="6" s="1"/>
  <c r="P38" i="6" s="1"/>
  <c r="P43" i="6" s="1"/>
  <c r="L104" i="6"/>
  <c r="L105" i="6" s="1"/>
  <c r="L106" i="6" s="1"/>
  <c r="L107" i="6" s="1"/>
  <c r="L111" i="6" s="1"/>
  <c r="N104" i="6"/>
  <c r="N105" i="6" s="1"/>
  <c r="N106" i="6" s="1"/>
  <c r="N107" i="6" s="1"/>
  <c r="N111" i="6" s="1"/>
  <c r="N112" i="6" s="1"/>
  <c r="S113" i="6"/>
  <c r="S38" i="6" s="1"/>
  <c r="S43" i="6" s="1"/>
  <c r="S112" i="6"/>
  <c r="M105" i="6"/>
  <c r="M106" i="6" s="1"/>
  <c r="M107" i="6" s="1"/>
  <c r="M111" i="6" s="1"/>
  <c r="I68" i="6"/>
  <c r="I70" i="6"/>
  <c r="J66" i="6" s="1"/>
  <c r="G113" i="6"/>
  <c r="G38" i="6" s="1"/>
  <c r="G112" i="6"/>
  <c r="G114" i="6" s="1"/>
  <c r="G115" i="6" s="1"/>
  <c r="J112" i="6"/>
  <c r="J25" i="6" s="1"/>
  <c r="J29" i="6" s="1"/>
  <c r="J113" i="6"/>
  <c r="J38" i="6" s="1"/>
  <c r="J43" i="6" s="1"/>
  <c r="L113" i="6"/>
  <c r="L38" i="6" s="1"/>
  <c r="L43" i="6" s="1"/>
  <c r="L112" i="6"/>
  <c r="H105" i="6"/>
  <c r="H106" i="6" s="1"/>
  <c r="H107" i="6" s="1"/>
  <c r="H111" i="6" s="1"/>
  <c r="T113" i="6"/>
  <c r="T38" i="6" s="1"/>
  <c r="T43" i="6" s="1"/>
  <c r="T112" i="6"/>
  <c r="O113" i="6"/>
  <c r="O38" i="6" s="1"/>
  <c r="O43" i="6" s="1"/>
  <c r="O112" i="6"/>
  <c r="O114" i="6" s="1"/>
  <c r="O115" i="6" s="1"/>
  <c r="F29" i="6"/>
  <c r="I113" i="6"/>
  <c r="I38" i="6" s="1"/>
  <c r="I43" i="6" s="1"/>
  <c r="I112" i="6"/>
  <c r="K112" i="6"/>
  <c r="K113" i="6"/>
  <c r="K38" i="6" s="1"/>
  <c r="K43" i="6" s="1"/>
  <c r="R112" i="6"/>
  <c r="R113" i="6"/>
  <c r="R38" i="6" s="1"/>
  <c r="R43" i="6" s="1"/>
  <c r="U113" i="6"/>
  <c r="U38" i="6" s="1"/>
  <c r="U43" i="6" s="1"/>
  <c r="U112" i="6"/>
  <c r="U25" i="6" s="1"/>
  <c r="U29" i="6" s="1"/>
  <c r="Q113" i="6"/>
  <c r="Q38" i="6" s="1"/>
  <c r="Q43" i="6" s="1"/>
  <c r="Q112" i="6"/>
  <c r="P112" i="6" l="1"/>
  <c r="N113" i="6"/>
  <c r="N38" i="6" s="1"/>
  <c r="N43" i="6" s="1"/>
  <c r="U114" i="6"/>
  <c r="U115" i="6" s="1"/>
  <c r="P114" i="6"/>
  <c r="P115" i="6" s="1"/>
  <c r="K114" i="6"/>
  <c r="K115" i="6" s="1"/>
  <c r="K25" i="6"/>
  <c r="I25" i="6"/>
  <c r="I29" i="6" s="1"/>
  <c r="I114" i="6"/>
  <c r="I115" i="6" s="1"/>
  <c r="J114" i="6"/>
  <c r="J115" i="6" s="1"/>
  <c r="P25" i="6"/>
  <c r="P29" i="6" s="1"/>
  <c r="N25" i="6"/>
  <c r="N29" i="6" s="1"/>
  <c r="N114" i="6"/>
  <c r="N115" i="6" s="1"/>
  <c r="L114" i="6"/>
  <c r="L115" i="6" s="1"/>
  <c r="L25" i="6"/>
  <c r="L29" i="6" s="1"/>
  <c r="G25" i="6"/>
  <c r="M112" i="6"/>
  <c r="M113" i="6"/>
  <c r="M38" i="6" s="1"/>
  <c r="M43" i="6" s="1"/>
  <c r="H113" i="6"/>
  <c r="H38" i="6" s="1"/>
  <c r="H112" i="6"/>
  <c r="T114" i="6"/>
  <c r="T115" i="6" s="1"/>
  <c r="T25" i="6"/>
  <c r="T29" i="6" s="1"/>
  <c r="J68" i="6"/>
  <c r="J70" i="6" s="1"/>
  <c r="K66" i="6" s="1"/>
  <c r="O25" i="6"/>
  <c r="O29" i="6" s="1"/>
  <c r="R114" i="6"/>
  <c r="R115" i="6" s="1"/>
  <c r="R25" i="6"/>
  <c r="R29" i="6" s="1"/>
  <c r="S25" i="6"/>
  <c r="S29" i="6" s="1"/>
  <c r="S114" i="6"/>
  <c r="S115" i="6" s="1"/>
  <c r="Q114" i="6"/>
  <c r="Q115" i="6" s="1"/>
  <c r="Q25" i="6"/>
  <c r="Q29" i="6" s="1"/>
  <c r="G43" i="6"/>
  <c r="D38" i="6" l="1"/>
  <c r="D41" i="6" s="1"/>
  <c r="C37" i="1" s="1"/>
  <c r="H114" i="6"/>
  <c r="H115" i="6" s="1"/>
  <c r="H25" i="6"/>
  <c r="H29" i="6" s="1"/>
  <c r="M114" i="6"/>
  <c r="M115" i="6" s="1"/>
  <c r="M25" i="6"/>
  <c r="D25" i="6" s="1"/>
  <c r="H43" i="6"/>
  <c r="D43" i="6" s="1"/>
  <c r="C34" i="1" s="1"/>
  <c r="G29" i="6"/>
  <c r="K68" i="6"/>
  <c r="K70" i="6" s="1"/>
  <c r="L66" i="6" s="1"/>
  <c r="K29" i="6"/>
  <c r="C35" i="1" l="1"/>
  <c r="D34" i="6"/>
  <c r="D44" i="6"/>
  <c r="C38" i="1" s="1"/>
  <c r="L68" i="6"/>
  <c r="L70" i="6" s="1"/>
  <c r="M66" i="6" s="1"/>
  <c r="M29" i="6"/>
  <c r="D29" i="6" s="1"/>
  <c r="E34" i="1" s="1"/>
  <c r="D27" i="6"/>
  <c r="D22" i="6"/>
  <c r="E35" i="1"/>
  <c r="D30" i="6"/>
  <c r="E38" i="1" s="1"/>
  <c r="D33" i="6"/>
  <c r="M68" i="6" l="1"/>
  <c r="M70" i="6" s="1"/>
  <c r="N66" i="6" s="1"/>
  <c r="D21" i="6"/>
  <c r="G33" i="6"/>
  <c r="G34" i="6" s="1"/>
  <c r="E37" i="1"/>
  <c r="K8" i="6"/>
  <c r="K7" i="6" s="1"/>
  <c r="N68" i="6" l="1"/>
  <c r="N70" i="6" s="1"/>
  <c r="O66" i="6" s="1"/>
  <c r="G21" i="6"/>
  <c r="D23" i="6"/>
  <c r="D36" i="6" s="1"/>
  <c r="D35" i="6" s="1"/>
  <c r="H33" i="6"/>
  <c r="I33" i="6" s="1"/>
  <c r="J33" i="6" s="1"/>
  <c r="H21" i="6" l="1"/>
  <c r="I21" i="6" s="1"/>
  <c r="J21" i="6" s="1"/>
  <c r="H34" i="6"/>
  <c r="K33" i="6"/>
  <c r="L33" i="6" s="1"/>
  <c r="M33" i="6" s="1"/>
  <c r="N33" i="6" s="1"/>
  <c r="G23" i="6"/>
  <c r="G36" i="6" s="1"/>
  <c r="G35" i="6" s="1"/>
  <c r="H22" i="6"/>
  <c r="H23" i="6" s="1"/>
  <c r="H36" i="6" s="1"/>
  <c r="H35" i="6" s="1"/>
  <c r="I34" i="6"/>
  <c r="J34" i="6" s="1"/>
  <c r="K34" i="6" s="1"/>
  <c r="L34" i="6" s="1"/>
  <c r="M34" i="6" s="1"/>
  <c r="N34" i="6" s="1"/>
  <c r="O68" i="6"/>
  <c r="O70" i="6" s="1"/>
  <c r="P66" i="6" s="1"/>
  <c r="K21" i="6" l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C21" i="6" s="1"/>
  <c r="P68" i="6"/>
  <c r="P70" i="6" s="1"/>
  <c r="Q66" i="6" s="1"/>
  <c r="I22" i="6"/>
  <c r="J22" i="6" s="1"/>
  <c r="J23" i="6" s="1"/>
  <c r="J36" i="6" s="1"/>
  <c r="J35" i="6" s="1"/>
  <c r="O33" i="6"/>
  <c r="P33" i="6" s="1"/>
  <c r="Q33" i="6" s="1"/>
  <c r="R33" i="6" s="1"/>
  <c r="S33" i="6" s="1"/>
  <c r="T33" i="6" s="1"/>
  <c r="Q68" i="6" l="1"/>
  <c r="Q70" i="6" s="1"/>
  <c r="R66" i="6" s="1"/>
  <c r="I23" i="6"/>
  <c r="O34" i="6"/>
  <c r="U33" i="6"/>
  <c r="C33" i="6" s="1"/>
  <c r="K22" i="6"/>
  <c r="K23" i="6" l="1"/>
  <c r="K36" i="6" s="1"/>
  <c r="K35" i="6" s="1"/>
  <c r="I36" i="6"/>
  <c r="P34" i="6"/>
  <c r="Q34" i="6" s="1"/>
  <c r="R34" i="6" s="1"/>
  <c r="S34" i="6" s="1"/>
  <c r="T34" i="6" s="1"/>
  <c r="U34" i="6" s="1"/>
  <c r="C34" i="6" s="1"/>
  <c r="R68" i="6"/>
  <c r="R70" i="6" s="1"/>
  <c r="S66" i="6" s="1"/>
  <c r="L22" i="6"/>
  <c r="L23" i="6" s="1"/>
  <c r="L36" i="6" s="1"/>
  <c r="L35" i="6" s="1"/>
  <c r="M22" i="6" l="1"/>
  <c r="M23" i="6" s="1"/>
  <c r="M36" i="6" s="1"/>
  <c r="M35" i="6" s="1"/>
  <c r="S68" i="6"/>
  <c r="S70" i="6" s="1"/>
  <c r="T66" i="6" s="1"/>
  <c r="I35" i="6"/>
  <c r="N22" i="6"/>
  <c r="N23" i="6" l="1"/>
  <c r="O22" i="6"/>
  <c r="T68" i="6"/>
  <c r="T70" i="6" s="1"/>
  <c r="U66" i="6" s="1"/>
  <c r="U68" i="6" l="1"/>
  <c r="U70" i="6"/>
  <c r="O23" i="6"/>
  <c r="O36" i="6" s="1"/>
  <c r="O35" i="6" s="1"/>
  <c r="P22" i="6"/>
  <c r="N36" i="6"/>
  <c r="P23" i="6" l="1"/>
  <c r="Q22" i="6"/>
  <c r="N35" i="6"/>
  <c r="Q23" i="6" l="1"/>
  <c r="Q36" i="6" s="1"/>
  <c r="Q35" i="6" s="1"/>
  <c r="R22" i="6"/>
  <c r="P36" i="6"/>
  <c r="P35" i="6" l="1"/>
  <c r="R23" i="6"/>
  <c r="S22" i="6"/>
  <c r="S23" i="6" l="1"/>
  <c r="S36" i="6" s="1"/>
  <c r="S35" i="6" s="1"/>
  <c r="T22" i="6"/>
  <c r="R36" i="6"/>
  <c r="T23" i="6" l="1"/>
  <c r="T36" i="6" s="1"/>
  <c r="T35" i="6" s="1"/>
  <c r="U22" i="6"/>
  <c r="R35" i="6"/>
  <c r="U23" i="6" l="1"/>
  <c r="C22" i="6"/>
  <c r="U36" i="6" l="1"/>
  <c r="C23" i="6"/>
  <c r="U35" i="6" l="1"/>
  <c r="C35" i="6" s="1"/>
  <c r="C3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<sst xmlns="http://schemas.openxmlformats.org/spreadsheetml/2006/main" count="375" uniqueCount="255">
  <si>
    <t>Property Name</t>
  </si>
  <si>
    <t>Number of Units</t>
  </si>
  <si>
    <t>Property Summary</t>
  </si>
  <si>
    <t>Purchase Price Method</t>
  </si>
  <si>
    <t>Discount Rate</t>
  </si>
  <si>
    <t>Replacement Cost (per unit)</t>
  </si>
  <si>
    <t xml:space="preserve"> </t>
  </si>
  <si>
    <t>Upfront CapEx</t>
  </si>
  <si>
    <t>Acquisition Cost</t>
  </si>
  <si>
    <t>All-in-Basis</t>
  </si>
  <si>
    <t>Going-In Cap Rate</t>
  </si>
  <si>
    <t>Price/Unit</t>
  </si>
  <si>
    <t>Y1 NOI</t>
  </si>
  <si>
    <t>Y3 NOI</t>
  </si>
  <si>
    <t>Terminal Value</t>
  </si>
  <si>
    <t>Other Income/Year</t>
  </si>
  <si>
    <t>General Vacancy</t>
  </si>
  <si>
    <t>Property Metrics</t>
  </si>
  <si>
    <t>Purchase Price</t>
  </si>
  <si>
    <t>Unlevered Equity Multiple (EM)</t>
  </si>
  <si>
    <t>Avg. Free and Clear Return</t>
  </si>
  <si>
    <t>Financing Assumptions</t>
  </si>
  <si>
    <t>Loan Amount</t>
  </si>
  <si>
    <t>Equity Required</t>
  </si>
  <si>
    <t>Interest Rate</t>
  </si>
  <si>
    <t>Years I/O</t>
  </si>
  <si>
    <t>Amortization Period</t>
  </si>
  <si>
    <t>Term</t>
  </si>
  <si>
    <t>LTV</t>
  </si>
  <si>
    <t>Lender Fees (%)</t>
  </si>
  <si>
    <t>Lender Fees ($)</t>
  </si>
  <si>
    <t>Unlevered IRR</t>
  </si>
  <si>
    <t>Levered IRR</t>
  </si>
  <si>
    <t>Levered EM</t>
  </si>
  <si>
    <t>Avg. Cash-on-Cash Return</t>
  </si>
  <si>
    <t>Min. DSCR (NOI)</t>
  </si>
  <si>
    <t>Min. Debt Yield (NOI)</t>
  </si>
  <si>
    <t>Capitalization</t>
  </si>
  <si>
    <t>%</t>
  </si>
  <si>
    <t>Amount</t>
  </si>
  <si>
    <t>GP/Sponsor</t>
  </si>
  <si>
    <t>LP Investors</t>
  </si>
  <si>
    <t>Inflation</t>
  </si>
  <si>
    <t>Rent</t>
  </si>
  <si>
    <t>Other Income</t>
  </si>
  <si>
    <t>Operating Expenses</t>
  </si>
  <si>
    <t>Capital Expenditure</t>
  </si>
  <si>
    <t>Releasing Costs</t>
  </si>
  <si>
    <t>Hurdle 1 (Preferred Return)</t>
  </si>
  <si>
    <t>Hurdle 2</t>
  </si>
  <si>
    <t>Hurdle 4</t>
  </si>
  <si>
    <t>Hurdle 3</t>
  </si>
  <si>
    <t>Sponsor Promote</t>
  </si>
  <si>
    <t>Set Purchase Price</t>
  </si>
  <si>
    <t>City, State/Region</t>
  </si>
  <si>
    <t>Investor Returns</t>
  </si>
  <si>
    <t>IRR</t>
  </si>
  <si>
    <t>Total Distributions</t>
  </si>
  <si>
    <t>Total Contributions</t>
  </si>
  <si>
    <t>Total Profit</t>
  </si>
  <si>
    <t>Equity Multiple</t>
  </si>
  <si>
    <t>Limited Partner(s)</t>
  </si>
  <si>
    <t>XYZ Condos</t>
  </si>
  <si>
    <t>Grand Cayman, CI</t>
  </si>
  <si>
    <t>Current Occupancy</t>
  </si>
  <si>
    <t>Unit Type</t>
  </si>
  <si>
    <t>Beds</t>
  </si>
  <si>
    <t>Baths</t>
  </si>
  <si>
    <t>In-Place Rent/Mo.</t>
  </si>
  <si>
    <t>Market Rent/Mo.</t>
  </si>
  <si>
    <t>Month to Roll to Market</t>
  </si>
  <si>
    <t>Lease Term</t>
  </si>
  <si>
    <t>CapEx/Unit/Mo.</t>
  </si>
  <si>
    <t>Free Rent per Lease</t>
  </si>
  <si>
    <t>Days Vacant Between Leases</t>
  </si>
  <si>
    <t>Releasing Cost per Unit</t>
  </si>
  <si>
    <t>Probability of Renewal</t>
  </si>
  <si>
    <t>Free Rent</t>
  </si>
  <si>
    <t>Days Vacant</t>
  </si>
  <si>
    <t>Releasing Cost</t>
  </si>
  <si>
    <t>Blended</t>
  </si>
  <si>
    <t>Studio</t>
  </si>
  <si>
    <t>1bd/1ba</t>
  </si>
  <si>
    <t>2bd/2ba</t>
  </si>
  <si>
    <t>4bd/4ba</t>
  </si>
  <si>
    <t>3bd/3ba</t>
  </si>
  <si>
    <t># of Units</t>
  </si>
  <si>
    <t>Year</t>
  </si>
  <si>
    <t>Year Ending</t>
  </si>
  <si>
    <t>Operating Expenses Assumptions</t>
  </si>
  <si>
    <t>Growth Rate</t>
  </si>
  <si>
    <t>Market Cap Rate (Y1)</t>
  </si>
  <si>
    <t>Terminal Cap Rate Growth/Yr</t>
  </si>
  <si>
    <t>Terminal Cap Year</t>
  </si>
  <si>
    <t>Analysis Period (Years)</t>
  </si>
  <si>
    <t>Analysis Start Date</t>
  </si>
  <si>
    <t>LTC</t>
  </si>
  <si>
    <t>Initial Equity Required</t>
  </si>
  <si>
    <t>Total Equity Required</t>
  </si>
  <si>
    <t>-Marketing</t>
  </si>
  <si>
    <t>-Administrative</t>
  </si>
  <si>
    <t>-Utilities</t>
  </si>
  <si>
    <t>-Payroll</t>
  </si>
  <si>
    <t>-Repair and Maintenance</t>
  </si>
  <si>
    <t>-Management (as % of EGR)</t>
  </si>
  <si>
    <t>-Insurance</t>
  </si>
  <si>
    <t>-Taxes</t>
  </si>
  <si>
    <t>Annual Cash Flow</t>
  </si>
  <si>
    <t>+ Base Rent</t>
  </si>
  <si>
    <t>+ Other Income</t>
  </si>
  <si>
    <t>Gross Potential Income</t>
  </si>
  <si>
    <t>- Rent Abatement</t>
  </si>
  <si>
    <t>- Vacancy</t>
  </si>
  <si>
    <t>Effective Gross Revenue</t>
  </si>
  <si>
    <t>- Marketing</t>
  </si>
  <si>
    <t>- Administrative</t>
  </si>
  <si>
    <t>- Utilities</t>
  </si>
  <si>
    <t>- Payroll</t>
  </si>
  <si>
    <t>- Repair and maintenance</t>
  </si>
  <si>
    <t>- Management (as % of EGR)</t>
  </si>
  <si>
    <t>- Insurance</t>
  </si>
  <si>
    <t>- Taxes</t>
  </si>
  <si>
    <t>Net Operating Income</t>
  </si>
  <si>
    <t>- Releasing Costs</t>
  </si>
  <si>
    <t>- Value Add Costs</t>
  </si>
  <si>
    <t>- Misc. CapEx</t>
  </si>
  <si>
    <t>Capital Expenditures</t>
  </si>
  <si>
    <t>Cash Flow From Operations</t>
  </si>
  <si>
    <t>Ratios</t>
  </si>
  <si>
    <t>Rents</t>
  </si>
  <si>
    <t>Month</t>
  </si>
  <si>
    <t>Month Ending</t>
  </si>
  <si>
    <t>Total</t>
  </si>
  <si>
    <t>CapEx</t>
  </si>
  <si>
    <t>Vacancy</t>
  </si>
  <si>
    <t>Rollover/Lease Expiration Tracking</t>
  </si>
  <si>
    <t>Free Rent Per Lease</t>
  </si>
  <si>
    <t>Property Vacancy</t>
  </si>
  <si>
    <t>Year 1 Per Unit</t>
  </si>
  <si>
    <t>Property Renovation/Improvement Costs</t>
  </si>
  <si>
    <t>Property Level Returns</t>
  </si>
  <si>
    <t>Cap Rate at Sale</t>
  </si>
  <si>
    <t>Net Sales Price</t>
  </si>
  <si>
    <t>SQFT</t>
  </si>
  <si>
    <t>Cash Flow from Operations</t>
  </si>
  <si>
    <t>Free and Clear Return</t>
  </si>
  <si>
    <t>Unlevered CF w/ Residual</t>
  </si>
  <si>
    <t>Unlevered EM</t>
  </si>
  <si>
    <t>Debt Service</t>
  </si>
  <si>
    <t>Debt Yield (NOI)</t>
  </si>
  <si>
    <t>Loan Balance</t>
  </si>
  <si>
    <t>Net Cash on Sale</t>
  </si>
  <si>
    <t>Net Gain</t>
  </si>
  <si>
    <t>Cash Flow After Financing</t>
  </si>
  <si>
    <t>Cash-on-Cash Return</t>
  </si>
  <si>
    <t>Levered Before Tax Cash Flow</t>
  </si>
  <si>
    <t>Unit of Area</t>
  </si>
  <si>
    <t>Internal Rate of Return Calculations</t>
  </si>
  <si>
    <t>Unlevered</t>
  </si>
  <si>
    <t>Levered</t>
  </si>
  <si>
    <t>Permanent Financing</t>
  </si>
  <si>
    <t>Property Name:</t>
  </si>
  <si>
    <t>Promote Structure Method</t>
  </si>
  <si>
    <t>Return of Capital</t>
  </si>
  <si>
    <t>Equity Contributions</t>
  </si>
  <si>
    <t>Total Equity</t>
  </si>
  <si>
    <t>Pref</t>
  </si>
  <si>
    <t>Limited Partner (LP) Returns</t>
  </si>
  <si>
    <t>Total LP Distributions</t>
  </si>
  <si>
    <t>Total LP Contributions</t>
  </si>
  <si>
    <t>Total LP Profit</t>
  </si>
  <si>
    <t>LP IRR</t>
  </si>
  <si>
    <t>LP Equity Multiple</t>
  </si>
  <si>
    <t>Sponsor IRR</t>
  </si>
  <si>
    <t>Sponsor EM</t>
  </si>
  <si>
    <t>Management Fees</t>
  </si>
  <si>
    <t>Acquisition/Disposition Fees</t>
  </si>
  <si>
    <t>Return of Capital &amp; Hurdle 1 (Preferred Return)</t>
  </si>
  <si>
    <t>Promote Structure Incentive Breakdown</t>
  </si>
  <si>
    <t>Sponsor %</t>
  </si>
  <si>
    <t>LP %</t>
  </si>
  <si>
    <t>Distribution as %</t>
  </si>
  <si>
    <t>Net Cash Flow For Distribution</t>
  </si>
  <si>
    <t>Return Threshold - Up to:</t>
  </si>
  <si>
    <t>Cash Flow Remaining</t>
  </si>
  <si>
    <t>Return Threshold - Excess of:</t>
  </si>
  <si>
    <t>Total Check</t>
  </si>
  <si>
    <t>Property Assumptions</t>
  </si>
  <si>
    <t>Net Rentable Area (NRA)</t>
  </si>
  <si>
    <t>Occupancy %</t>
  </si>
  <si>
    <t>Cap Rate</t>
  </si>
  <si>
    <t>PSF</t>
  </si>
  <si>
    <t>Acquisition Cost %</t>
  </si>
  <si>
    <t>Amortization Payment</t>
  </si>
  <si>
    <t>I/O Payment</t>
  </si>
  <si>
    <t>Initial Loan Balance</t>
  </si>
  <si>
    <t>Lender Fees %</t>
  </si>
  <si>
    <t>Property Valuation</t>
  </si>
  <si>
    <t>#</t>
  </si>
  <si>
    <t>Unlevered All-In Basis</t>
  </si>
  <si>
    <t>Debt Service Coverage Ratio (NOI)</t>
  </si>
  <si>
    <t>Profit Dist.:</t>
  </si>
  <si>
    <t>Net BTCF:</t>
  </si>
  <si>
    <t>Error Check:</t>
  </si>
  <si>
    <t>Return of Capital Method</t>
  </si>
  <si>
    <t>Units Remaining:</t>
  </si>
  <si>
    <t>Total Units:</t>
  </si>
  <si>
    <t>Value Basis for LTV</t>
  </si>
  <si>
    <t>Effective Hold Period</t>
  </si>
  <si>
    <t>% of Total Cash from Operations</t>
  </si>
  <si>
    <t>% of Total Cash from Sale</t>
  </si>
  <si>
    <t>Inputs (from Rent Roll/Unit Mix)</t>
  </si>
  <si>
    <t>Property Unit Mix</t>
  </si>
  <si>
    <t>CFFO</t>
  </si>
  <si>
    <t>-Formulaically</t>
  </si>
  <si>
    <t>-NPV()</t>
  </si>
  <si>
    <t>Total CFs</t>
  </si>
  <si>
    <t>Sale Price</t>
  </si>
  <si>
    <t>Building Sale Year:</t>
  </si>
  <si>
    <t>Discount Rate:</t>
  </si>
  <si>
    <t>NPV:</t>
  </si>
  <si>
    <t>DCF Calculations</t>
  </si>
  <si>
    <t>Preferred Return</t>
  </si>
  <si>
    <t>LP Distribution</t>
  </si>
  <si>
    <t>GP Distribution</t>
  </si>
  <si>
    <t>General Partner (GP)</t>
  </si>
  <si>
    <t>Limited Partner (LP)</t>
  </si>
  <si>
    <t>Summary of Partnership Level Returns</t>
  </si>
  <si>
    <t>Excess Cash Flow</t>
  </si>
  <si>
    <t>GP Returns</t>
  </si>
  <si>
    <t>Promote</t>
  </si>
  <si>
    <t>Total GP Distributions</t>
  </si>
  <si>
    <t>Total GP Fees</t>
  </si>
  <si>
    <t>Total GP Contributions</t>
  </si>
  <si>
    <t>Total GP Profit (incl. fees)</t>
  </si>
  <si>
    <t>Net Property-Level Cash Flow</t>
  </si>
  <si>
    <t>Adjusted Net Property-Level Cash Flow</t>
  </si>
  <si>
    <t>Beginning Balance</t>
  </si>
  <si>
    <t>+ Contributions This Period</t>
  </si>
  <si>
    <t>+ Pref Accrual</t>
  </si>
  <si>
    <t>- Distributions This Period</t>
  </si>
  <si>
    <t>Ending Balance</t>
  </si>
  <si>
    <t>Distribution Sizing</t>
  </si>
  <si>
    <t>LP total Entitlement at this Hurdle</t>
  </si>
  <si>
    <t>- Prior Cumulative LP Distributions</t>
  </si>
  <si>
    <t>Remaining LP Entitlement</t>
  </si>
  <si>
    <t>Cash Flow Available This Period</t>
  </si>
  <si>
    <t>Total Distributions This Period</t>
  </si>
  <si>
    <t>LP Capital Account</t>
  </si>
  <si>
    <t>GP Capital Account</t>
  </si>
  <si>
    <t>Error Check</t>
  </si>
  <si>
    <t>Pari Passu</t>
  </si>
  <si>
    <t>Cap Year 1 NOI</t>
  </si>
  <si>
    <t>Description</t>
  </si>
  <si>
    <t>[See Investor Returns Tab To Configure]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</si>
</sst>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\ &quot;units&quot;"/>
    <numFmt numFmtId="166" formatCode="&quot;Month&quot;\ 0"/>
    <numFmt numFmtId="167" formatCode="0\ &quot;month(s)&quot;"/>
    <numFmt numFmtId="168" formatCode="&quot;$&quot;#,##0.00"/>
    <numFmt numFmtId="169" formatCode="0\ &quot;days&quot;"/>
    <numFmt numFmtId="170" formatCode="yyyy\-mm\-dd;@"/>
    <numFmt numFmtId="171" formatCode="0\ &quot;bps&quot;"/>
    <numFmt numFmtId="172" formatCode="0\ &quot;year(s)&quot;"/>
    <numFmt numFmtId="173" formatCode="yyyy\-mm;@"/>
    <numFmt numFmtId="174" formatCode="&quot;Year&quot;\ 0"/>
    <numFmt numFmtId="175" formatCode="_(* #,##0_);_(* \(#,##0\);_(* &quot;-&quot;??_);_(@_)"/>
    <numFmt numFmtId="176" formatCode="0.00%\ &quot;of GPI&quot;"/>
    <numFmt numFmtId="177" formatCode="0.00&quot;x&quot;"/>
    <numFmt numFmtId="178" formatCode="_(&quot;$&quot;* #,##0.00_);_(&quot;$&quot;* \(#,##0.00\);_(&quot;$&quot;* &quot;-&quot;_);_(@_)"/>
    <numFmt numFmtId="179" formatCode="&quot;&gt;&quot;\ 0.00%\ &quot;IRR to LP&quot;"/>
    <numFmt numFmtId="180" formatCode="&quot;&gt;&quot;\ 0.00&quot;x EM to LP&quot;"/>
    <numFmt numFmtId="181" formatCode="0.00&quot;MM&quot;"/>
  </numFmts>
  <fonts count="1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u val="singleAccounting"/>
      <sz val="12"/>
      <color rgb="FF0000FF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i/>
      <u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8" tint="0.39997558519241921"/>
        <bgColor rgb="FF000000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0">
    <xf numFmtId="0" fontId="0" fillId="0" borderId="0" xfId="0"/>
    <xf numFmtId="0" fontId="2" fillId="0" borderId="0" xfId="0" applyFont="1"/>
    <xf numFmtId="9" fontId="0" fillId="0" borderId="0" xfId="0" applyNumberFormat="1"/>
    <xf numFmtId="9" fontId="3" fillId="0" borderId="0" xfId="0" applyNumberFormat="1" applyFont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1" xfId="0" applyFill="1" applyBorder="1"/>
    <xf numFmtId="0" fontId="0" fillId="2" borderId="8" xfId="0" applyFill="1" applyBorder="1"/>
    <xf numFmtId="167" fontId="0" fillId="2" borderId="5" xfId="0" applyNumberFormat="1" applyFill="1" applyBorder="1"/>
    <xf numFmtId="0" fontId="3" fillId="2" borderId="0" xfId="0" applyFont="1" applyFill="1" applyAlignment="1">
      <alignment horizontal="right"/>
    </xf>
    <xf numFmtId="10" fontId="3" fillId="2" borderId="0" xfId="0" applyNumberFormat="1" applyFont="1" applyFill="1" applyAlignment="1">
      <alignment horizontal="right"/>
    </xf>
    <xf numFmtId="173" fontId="3" fillId="2" borderId="0" xfId="0" applyNumberFormat="1" applyFont="1" applyFill="1" applyAlignment="1">
      <alignment horizontal="right"/>
    </xf>
    <xf numFmtId="172" fontId="3" fillId="2" borderId="0" xfId="0" applyNumberFormat="1" applyFont="1" applyFill="1" applyAlignment="1">
      <alignment horizontal="right"/>
    </xf>
    <xf numFmtId="171" fontId="3" fillId="2" borderId="0" xfId="0" applyNumberFormat="1" applyFont="1" applyFill="1" applyAlignment="1">
      <alignment horizontal="right"/>
    </xf>
    <xf numFmtId="168" fontId="3" fillId="2" borderId="0" xfId="0" applyNumberFormat="1" applyFont="1" applyFill="1" applyAlignment="1">
      <alignment horizontal="right"/>
    </xf>
    <xf numFmtId="10" fontId="0" fillId="2" borderId="0" xfId="0" applyNumberFormat="1" applyFill="1"/>
    <xf numFmtId="174" fontId="0" fillId="0" borderId="0" xfId="0" applyNumberFormat="1"/>
    <xf numFmtId="0" fontId="5" fillId="0" borderId="0" xfId="0" applyFont="1"/>
    <xf numFmtId="0" fontId="0" fillId="0" borderId="2" xfId="0" applyBorder="1"/>
    <xf numFmtId="41" fontId="0" fillId="0" borderId="0" xfId="0" applyNumberFormat="1"/>
    <xf numFmtId="41" fontId="0" fillId="2" borderId="0" xfId="0" applyNumberFormat="1" applyFill="1"/>
    <xf numFmtId="41" fontId="6" fillId="2" borderId="0" xfId="0" applyNumberFormat="1" applyFont="1" applyFill="1"/>
    <xf numFmtId="0" fontId="0" fillId="2" borderId="1" xfId="0" applyFill="1" applyBorder="1" applyAlignment="1">
      <alignment horizontal="right" wrapText="1"/>
    </xf>
    <xf numFmtId="174" fontId="0" fillId="2" borderId="1" xfId="0" applyNumberFormat="1" applyFill="1" applyBorder="1"/>
    <xf numFmtId="0" fontId="2" fillId="2" borderId="1" xfId="0" applyFont="1" applyFill="1" applyBorder="1"/>
    <xf numFmtId="0" fontId="2" fillId="2" borderId="8" xfId="0" applyFont="1" applyFill="1" applyBorder="1"/>
    <xf numFmtId="0" fontId="2" fillId="2" borderId="7" xfId="0" applyFont="1" applyFill="1" applyBorder="1"/>
    <xf numFmtId="41" fontId="0" fillId="2" borderId="6" xfId="0" applyNumberFormat="1" applyFill="1" applyBorder="1"/>
    <xf numFmtId="10" fontId="0" fillId="2" borderId="6" xfId="0" applyNumberFormat="1" applyFill="1" applyBorder="1"/>
    <xf numFmtId="0" fontId="9" fillId="0" borderId="0" xfId="0" applyFont="1"/>
    <xf numFmtId="0" fontId="10" fillId="0" borderId="0" xfId="0" applyFont="1"/>
    <xf numFmtId="3" fontId="0" fillId="2" borderId="0" xfId="0" applyNumberFormat="1" applyFill="1"/>
    <xf numFmtId="0" fontId="2" fillId="5" borderId="1" xfId="0" applyFont="1" applyFill="1" applyBorder="1" applyAlignment="1">
      <alignment wrapText="1"/>
    </xf>
    <xf numFmtId="0" fontId="2" fillId="5" borderId="8" xfId="0" applyFont="1" applyFill="1" applyBorder="1" applyAlignment="1">
      <alignment wrapText="1"/>
    </xf>
    <xf numFmtId="0" fontId="2" fillId="4" borderId="7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5" borderId="7" xfId="0" applyFont="1" applyFill="1" applyBorder="1" applyAlignment="1">
      <alignment wrapText="1"/>
    </xf>
    <xf numFmtId="0" fontId="0" fillId="2" borderId="11" xfId="0" applyFill="1" applyBorder="1"/>
    <xf numFmtId="0" fontId="0" fillId="6" borderId="4" xfId="0" applyFill="1" applyBorder="1"/>
    <xf numFmtId="0" fontId="2" fillId="6" borderId="2" xfId="0" applyFont="1" applyFill="1" applyBorder="1"/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/>
    <xf numFmtId="0" fontId="0" fillId="6" borderId="3" xfId="0" applyFill="1" applyBorder="1"/>
    <xf numFmtId="0" fontId="2" fillId="6" borderId="3" xfId="0" applyFont="1" applyFill="1" applyBorder="1"/>
    <xf numFmtId="177" fontId="0" fillId="2" borderId="0" xfId="0" applyNumberFormat="1" applyFill="1"/>
    <xf numFmtId="0" fontId="0" fillId="2" borderId="1" xfId="0" applyFill="1" applyBorder="1" applyAlignment="1">
      <alignment horizontal="right"/>
    </xf>
    <xf numFmtId="170" fontId="0" fillId="2" borderId="1" xfId="0" applyNumberFormat="1" applyFill="1" applyBorder="1"/>
    <xf numFmtId="10" fontId="0" fillId="2" borderId="1" xfId="0" applyNumberFormat="1" applyFill="1" applyBorder="1"/>
    <xf numFmtId="10" fontId="0" fillId="2" borderId="1" xfId="0" applyNumberFormat="1" applyFill="1" applyBorder="1" applyAlignment="1">
      <alignment horizontal="right"/>
    </xf>
    <xf numFmtId="0" fontId="0" fillId="2" borderId="13" xfId="0" applyFill="1" applyBorder="1" applyAlignment="1">
      <alignment horizontal="right"/>
    </xf>
    <xf numFmtId="0" fontId="0" fillId="2" borderId="15" xfId="0" applyFill="1" applyBorder="1" applyAlignment="1">
      <alignment horizontal="right"/>
    </xf>
    <xf numFmtId="0" fontId="0" fillId="2" borderId="19" xfId="0" applyFill="1" applyBorder="1" applyAlignment="1">
      <alignment horizontal="right"/>
    </xf>
    <xf numFmtId="0" fontId="0" fillId="2" borderId="14" xfId="0" applyFill="1" applyBorder="1" applyAlignment="1">
      <alignment horizontal="right"/>
    </xf>
    <xf numFmtId="181" fontId="0" fillId="2" borderId="16" xfId="0" applyNumberFormat="1" applyFill="1" applyBorder="1" applyAlignment="1">
      <alignment horizontal="right"/>
    </xf>
    <xf numFmtId="181" fontId="0" fillId="2" borderId="20" xfId="0" applyNumberFormat="1" applyFill="1" applyBorder="1" applyAlignment="1">
      <alignment horizontal="right"/>
    </xf>
    <xf numFmtId="41" fontId="0" fillId="2" borderId="1" xfId="0" applyNumberFormat="1" applyFill="1" applyBorder="1" applyAlignment="1">
      <alignment horizontal="right"/>
    </xf>
    <xf numFmtId="10" fontId="0" fillId="2" borderId="5" xfId="0" applyNumberFormat="1" applyFill="1" applyBorder="1"/>
    <xf numFmtId="10" fontId="1" fillId="2" borderId="1" xfId="2" applyNumberFormat="1" applyFont="1" applyFill="1" applyBorder="1"/>
    <xf numFmtId="41" fontId="0" fillId="2" borderId="8" xfId="0" applyNumberFormat="1" applyFill="1" applyBorder="1"/>
    <xf numFmtId="177" fontId="0" fillId="2" borderId="8" xfId="0" applyNumberFormat="1" applyFill="1" applyBorder="1"/>
    <xf numFmtId="177" fontId="0" fillId="2" borderId="1" xfId="0" applyNumberFormat="1" applyFill="1" applyBorder="1"/>
    <xf numFmtId="0" fontId="0" fillId="0" borderId="11" xfId="0" applyBorder="1"/>
    <xf numFmtId="169" fontId="0" fillId="2" borderId="0" xfId="0" applyNumberFormat="1" applyFill="1"/>
    <xf numFmtId="168" fontId="0" fillId="2" borderId="6" xfId="0" applyNumberFormat="1" applyFill="1" applyBorder="1"/>
    <xf numFmtId="0" fontId="0" fillId="2" borderId="9" xfId="0" applyFill="1" applyBorder="1"/>
    <xf numFmtId="0" fontId="2" fillId="2" borderId="7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8" xfId="0" applyFont="1" applyFill="1" applyBorder="1" applyAlignment="1">
      <alignment wrapText="1"/>
    </xf>
    <xf numFmtId="175" fontId="5" fillId="2" borderId="9" xfId="0" applyNumberFormat="1" applyFont="1" applyFill="1" applyBorder="1"/>
    <xf numFmtId="175" fontId="5" fillId="2" borderId="0" xfId="0" applyNumberFormat="1" applyFont="1" applyFill="1"/>
    <xf numFmtId="0" fontId="4" fillId="9" borderId="11" xfId="0" applyFont="1" applyFill="1" applyBorder="1"/>
    <xf numFmtId="0" fontId="5" fillId="9" borderId="9" xfId="0" applyFont="1" applyFill="1" applyBorder="1"/>
    <xf numFmtId="0" fontId="5" fillId="9" borderId="12" xfId="0" applyFont="1" applyFill="1" applyBorder="1"/>
    <xf numFmtId="0" fontId="5" fillId="2" borderId="11" xfId="0" applyFont="1" applyFill="1" applyBorder="1" applyAlignment="1">
      <alignment horizontal="right"/>
    </xf>
    <xf numFmtId="0" fontId="5" fillId="2" borderId="9" xfId="0" applyFont="1" applyFill="1" applyBorder="1"/>
    <xf numFmtId="0" fontId="5" fillId="2" borderId="12" xfId="0" applyFont="1" applyFill="1" applyBorder="1"/>
    <xf numFmtId="0" fontId="5" fillId="2" borderId="5" xfId="0" applyFont="1" applyFill="1" applyBorder="1" applyAlignment="1">
      <alignment horizontal="right"/>
    </xf>
    <xf numFmtId="0" fontId="5" fillId="2" borderId="0" xfId="0" applyFont="1" applyFill="1"/>
    <xf numFmtId="0" fontId="5" fillId="2" borderId="6" xfId="0" applyFont="1" applyFill="1" applyBorder="1"/>
    <xf numFmtId="170" fontId="5" fillId="2" borderId="0" xfId="0" applyNumberFormat="1" applyFont="1" applyFill="1"/>
    <xf numFmtId="170" fontId="5" fillId="2" borderId="6" xfId="0" applyNumberFormat="1" applyFont="1" applyFill="1" applyBorder="1"/>
    <xf numFmtId="0" fontId="5" fillId="2" borderId="5" xfId="0" applyFont="1" applyFill="1" applyBorder="1"/>
    <xf numFmtId="175" fontId="5" fillId="2" borderId="6" xfId="0" applyNumberFormat="1" applyFont="1" applyFill="1" applyBorder="1"/>
    <xf numFmtId="0" fontId="5" fillId="2" borderId="2" xfId="0" applyFont="1" applyFill="1" applyBorder="1" applyAlignment="1">
      <alignment horizontal="right"/>
    </xf>
    <xf numFmtId="175" fontId="5" fillId="2" borderId="3" xfId="0" applyNumberFormat="1" applyFont="1" applyFill="1" applyBorder="1"/>
    <xf numFmtId="175" fontId="5" fillId="2" borderId="4" xfId="0" applyNumberFormat="1" applyFont="1" applyFill="1" applyBorder="1"/>
    <xf numFmtId="175" fontId="5" fillId="2" borderId="12" xfId="0" applyNumberFormat="1" applyFont="1" applyFill="1" applyBorder="1"/>
    <xf numFmtId="0" fontId="5" fillId="2" borderId="7" xfId="0" applyFont="1" applyFill="1" applyBorder="1" applyAlignment="1">
      <alignment horizontal="right"/>
    </xf>
    <xf numFmtId="175" fontId="5" fillId="2" borderId="1" xfId="0" applyNumberFormat="1" applyFont="1" applyFill="1" applyBorder="1"/>
    <xf numFmtId="175" fontId="5" fillId="2" borderId="8" xfId="0" applyNumberFormat="1" applyFont="1" applyFill="1" applyBorder="1"/>
    <xf numFmtId="0" fontId="2" fillId="6" borderId="11" xfId="0" applyFont="1" applyFill="1" applyBorder="1"/>
    <xf numFmtId="0" fontId="0" fillId="6" borderId="9" xfId="0" applyFill="1" applyBorder="1"/>
    <xf numFmtId="0" fontId="0" fillId="6" borderId="12" xfId="0" applyFill="1" applyBorder="1"/>
    <xf numFmtId="0" fontId="0" fillId="2" borderId="11" xfId="0" applyFill="1" applyBorder="1" applyAlignment="1">
      <alignment horizontal="right"/>
    </xf>
    <xf numFmtId="0" fontId="0" fillId="2" borderId="12" xfId="0" applyFill="1" applyBorder="1"/>
    <xf numFmtId="0" fontId="0" fillId="2" borderId="5" xfId="0" applyFill="1" applyBorder="1" applyAlignment="1">
      <alignment horizontal="right"/>
    </xf>
    <xf numFmtId="170" fontId="0" fillId="2" borderId="0" xfId="0" applyNumberFormat="1" applyFill="1"/>
    <xf numFmtId="170" fontId="0" fillId="2" borderId="6" xfId="0" applyNumberFormat="1" applyFill="1" applyBorder="1"/>
    <xf numFmtId="175" fontId="0" fillId="2" borderId="0" xfId="1" applyNumberFormat="1" applyFont="1" applyFill="1" applyBorder="1"/>
    <xf numFmtId="175" fontId="0" fillId="2" borderId="6" xfId="1" applyNumberFormat="1" applyFont="1" applyFill="1" applyBorder="1"/>
    <xf numFmtId="0" fontId="0" fillId="2" borderId="2" xfId="0" applyFill="1" applyBorder="1" applyAlignment="1">
      <alignment horizontal="right"/>
    </xf>
    <xf numFmtId="175" fontId="0" fillId="2" borderId="3" xfId="0" applyNumberFormat="1" applyFill="1" applyBorder="1"/>
    <xf numFmtId="175" fontId="0" fillId="2" borderId="4" xfId="0" applyNumberFormat="1" applyFill="1" applyBorder="1"/>
    <xf numFmtId="0" fontId="0" fillId="2" borderId="0" xfId="0" quotePrefix="1" applyFill="1" applyAlignment="1">
      <alignment horizontal="left" indent="1"/>
    </xf>
    <xf numFmtId="41" fontId="6" fillId="2" borderId="6" xfId="0" applyNumberFormat="1" applyFont="1" applyFill="1" applyBorder="1"/>
    <xf numFmtId="0" fontId="2" fillId="2" borderId="0" xfId="0" applyFont="1" applyFill="1"/>
    <xf numFmtId="0" fontId="0" fillId="2" borderId="3" xfId="0" applyFill="1" applyBorder="1"/>
    <xf numFmtId="0" fontId="0" fillId="2" borderId="4" xfId="0" applyFill="1" applyBorder="1"/>
    <xf numFmtId="41" fontId="0" fillId="0" borderId="1" xfId="0" applyNumberFormat="1" applyBorder="1"/>
    <xf numFmtId="41" fontId="0" fillId="0" borderId="8" xfId="0" applyNumberFormat="1" applyBorder="1"/>
    <xf numFmtId="0" fontId="0" fillId="2" borderId="2" xfId="0" applyFill="1" applyBorder="1"/>
    <xf numFmtId="41" fontId="0" fillId="0" borderId="7" xfId="0" applyNumberFormat="1" applyBorder="1"/>
    <xf numFmtId="41" fontId="0" fillId="2" borderId="1" xfId="0" applyNumberFormat="1" applyFill="1" applyBorder="1"/>
    <xf numFmtId="174" fontId="0" fillId="2" borderId="8" xfId="0" applyNumberFormat="1" applyFill="1" applyBorder="1"/>
    <xf numFmtId="0" fontId="0" fillId="2" borderId="5" xfId="0" quotePrefix="1" applyFill="1" applyBorder="1" applyAlignment="1">
      <alignment horizontal="left" indent="1"/>
    </xf>
    <xf numFmtId="176" fontId="0" fillId="2" borderId="0" xfId="0" applyNumberFormat="1" applyFill="1"/>
    <xf numFmtId="41" fontId="8" fillId="2" borderId="0" xfId="0" applyNumberFormat="1" applyFont="1" applyFill="1"/>
    <xf numFmtId="41" fontId="8" fillId="2" borderId="6" xfId="0" applyNumberFormat="1" applyFont="1" applyFill="1" applyBorder="1"/>
    <xf numFmtId="0" fontId="2" fillId="2" borderId="5" xfId="0" applyFont="1" applyFill="1" applyBorder="1"/>
    <xf numFmtId="43" fontId="0" fillId="2" borderId="0" xfId="0" applyNumberFormat="1" applyFill="1"/>
    <xf numFmtId="41" fontId="2" fillId="2" borderId="0" xfId="0" applyNumberFormat="1" applyFont="1" applyFill="1"/>
    <xf numFmtId="41" fontId="2" fillId="2" borderId="6" xfId="0" applyNumberFormat="1" applyFont="1" applyFill="1" applyBorder="1"/>
    <xf numFmtId="0" fontId="0" fillId="2" borderId="0" xfId="0" applyFill="1" applyAlignment="1">
      <alignment horizontal="right"/>
    </xf>
    <xf numFmtId="174" fontId="0" fillId="2" borderId="0" xfId="0" applyNumberFormat="1" applyFill="1"/>
    <xf numFmtId="0" fontId="0" fillId="2" borderId="5" xfId="0" applyFill="1" applyBorder="1" applyAlignment="1">
      <alignment horizontal="left" indent="1"/>
    </xf>
    <xf numFmtId="10" fontId="0" fillId="2" borderId="0" xfId="2" applyNumberFormat="1" applyFont="1" applyFill="1" applyBorder="1"/>
    <xf numFmtId="41" fontId="0" fillId="2" borderId="0" xfId="0" applyNumberFormat="1" applyFill="1" applyAlignment="1">
      <alignment horizontal="right"/>
    </xf>
    <xf numFmtId="0" fontId="12" fillId="2" borderId="0" xfId="0" applyFont="1" applyFill="1"/>
    <xf numFmtId="10" fontId="0" fillId="2" borderId="0" xfId="0" applyNumberFormat="1" applyFill="1" applyAlignment="1">
      <alignment horizontal="right"/>
    </xf>
    <xf numFmtId="0" fontId="10" fillId="2" borderId="0" xfId="0" applyFont="1" applyFill="1"/>
    <xf numFmtId="0" fontId="8" fillId="2" borderId="0" xfId="0" applyFont="1" applyFill="1"/>
    <xf numFmtId="180" fontId="3" fillId="7" borderId="0" xfId="0" applyNumberFormat="1" applyFont="1" applyFill="1"/>
    <xf numFmtId="10" fontId="2" fillId="2" borderId="0" xfId="0" applyNumberFormat="1" applyFont="1" applyFill="1"/>
    <xf numFmtId="44" fontId="0" fillId="2" borderId="0" xfId="0" applyNumberFormat="1" applyFill="1"/>
    <xf numFmtId="0" fontId="2" fillId="2" borderId="7" xfId="0" applyFont="1" applyFill="1" applyBorder="1" applyAlignment="1">
      <alignment horizontal="right" wrapText="1"/>
    </xf>
    <xf numFmtId="178" fontId="0" fillId="2" borderId="0" xfId="0" applyNumberFormat="1" applyFill="1"/>
    <xf numFmtId="172" fontId="0" fillId="2" borderId="0" xfId="0" applyNumberFormat="1" applyFill="1"/>
    <xf numFmtId="6" fontId="0" fillId="2" borderId="0" xfId="0" applyNumberFormat="1" applyFill="1"/>
    <xf numFmtId="41" fontId="3" fillId="7" borderId="0" xfId="0" applyNumberFormat="1" applyFont="1" applyFill="1" applyAlignment="1">
      <alignment horizontal="right"/>
    </xf>
    <xf numFmtId="0" fontId="0" fillId="6" borderId="2" xfId="0" applyFill="1" applyBorder="1" applyAlignment="1">
      <alignment horizontal="right"/>
    </xf>
    <xf numFmtId="172" fontId="0" fillId="2" borderId="1" xfId="0" applyNumberFormat="1" applyFill="1" applyBorder="1"/>
    <xf numFmtId="174" fontId="0" fillId="2" borderId="0" xfId="0" applyNumberFormat="1" applyFill="1" applyAlignment="1">
      <alignment horizontal="right"/>
    </xf>
    <xf numFmtId="165" fontId="0" fillId="2" borderId="0" xfId="0" applyNumberFormat="1" applyFill="1"/>
    <xf numFmtId="164" fontId="0" fillId="2" borderId="0" xfId="0" applyNumberFormat="1" applyFill="1"/>
    <xf numFmtId="3" fontId="0" fillId="2" borderId="0" xfId="1" applyNumberFormat="1" applyFont="1" applyFill="1" applyBorder="1"/>
    <xf numFmtId="4" fontId="0" fillId="2" borderId="0" xfId="0" applyNumberFormat="1" applyFill="1"/>
    <xf numFmtId="166" fontId="0" fillId="2" borderId="0" xfId="0" applyNumberFormat="1" applyFill="1"/>
    <xf numFmtId="167" fontId="0" fillId="2" borderId="0" xfId="0" applyNumberFormat="1" applyFill="1"/>
    <xf numFmtId="168" fontId="0" fillId="2" borderId="0" xfId="0" applyNumberFormat="1" applyFill="1"/>
    <xf numFmtId="9" fontId="0" fillId="2" borderId="6" xfId="2" applyFont="1" applyFill="1" applyBorder="1"/>
    <xf numFmtId="0" fontId="12" fillId="2" borderId="5" xfId="0" applyFont="1" applyFill="1" applyBorder="1"/>
    <xf numFmtId="10" fontId="12" fillId="2" borderId="0" xfId="0" applyNumberFormat="1" applyFont="1" applyFill="1" applyAlignment="1">
      <alignment horizontal="right"/>
    </xf>
    <xf numFmtId="8" fontId="0" fillId="0" borderId="0" xfId="0" applyNumberFormat="1"/>
    <xf numFmtId="0" fontId="5" fillId="0" borderId="21" xfId="0" applyFont="1" applyBorder="1"/>
    <xf numFmtId="0" fontId="5" fillId="0" borderId="10" xfId="0" quotePrefix="1" applyFont="1" applyBorder="1" applyAlignment="1">
      <alignment horizontal="left" indent="1"/>
    </xf>
    <xf numFmtId="41" fontId="0" fillId="0" borderId="10" xfId="0" applyNumberFormat="1" applyBorder="1"/>
    <xf numFmtId="41" fontId="5" fillId="0" borderId="2" xfId="0" applyNumberFormat="1" applyFont="1" applyBorder="1"/>
    <xf numFmtId="41" fontId="5" fillId="0" borderId="3" xfId="0" applyNumberFormat="1" applyFont="1" applyBorder="1"/>
    <xf numFmtId="41" fontId="5" fillId="0" borderId="4" xfId="0" applyNumberFormat="1" applyFont="1" applyBorder="1"/>
    <xf numFmtId="174" fontId="0" fillId="0" borderId="4" xfId="0" applyNumberFormat="1" applyBorder="1"/>
    <xf numFmtId="0" fontId="0" fillId="0" borderId="10" xfId="0" applyBorder="1" applyAlignment="1">
      <alignment horizontal="right"/>
    </xf>
    <xf numFmtId="9" fontId="0" fillId="0" borderId="10" xfId="0" applyNumberFormat="1" applyBorder="1" applyAlignment="1">
      <alignment horizontal="center"/>
    </xf>
    <xf numFmtId="174" fontId="0" fillId="0" borderId="10" xfId="0" applyNumberFormat="1" applyBorder="1" applyAlignment="1">
      <alignment horizontal="center"/>
    </xf>
    <xf numFmtId="0" fontId="5" fillId="0" borderId="2" xfId="0" applyFont="1" applyBorder="1"/>
    <xf numFmtId="174" fontId="5" fillId="0" borderId="3" xfId="0" applyNumberFormat="1" applyFont="1" applyBorder="1"/>
    <xf numFmtId="174" fontId="5" fillId="0" borderId="4" xfId="0" applyNumberFormat="1" applyFont="1" applyBorder="1"/>
    <xf numFmtId="174" fontId="0" fillId="0" borderId="3" xfId="0" applyNumberFormat="1" applyBorder="1"/>
    <xf numFmtId="10" fontId="0" fillId="0" borderId="9" xfId="0" applyNumberFormat="1" applyBorder="1"/>
    <xf numFmtId="10" fontId="0" fillId="0" borderId="12" xfId="0" applyNumberFormat="1" applyBorder="1"/>
    <xf numFmtId="41" fontId="0" fillId="0" borderId="6" xfId="0" applyNumberFormat="1" applyBorder="1"/>
    <xf numFmtId="41" fontId="5" fillId="0" borderId="9" xfId="0" applyNumberFormat="1" applyFont="1" applyBorder="1"/>
    <xf numFmtId="41" fontId="5" fillId="0" borderId="12" xfId="0" applyNumberFormat="1" applyFont="1" applyBorder="1"/>
    <xf numFmtId="41" fontId="5" fillId="0" borderId="0" xfId="0" applyNumberFormat="1" applyFont="1"/>
    <xf numFmtId="41" fontId="5" fillId="0" borderId="6" xfId="0" applyNumberFormat="1" applyFont="1" applyBorder="1"/>
    <xf numFmtId="41" fontId="5" fillId="0" borderId="1" xfId="0" applyNumberFormat="1" applyFont="1" applyBorder="1"/>
    <xf numFmtId="41" fontId="5" fillId="0" borderId="8" xfId="0" applyNumberFormat="1" applyFont="1" applyBorder="1"/>
    <xf numFmtId="0" fontId="5" fillId="0" borderId="17" xfId="0" applyFont="1" applyBorder="1"/>
    <xf numFmtId="0" fontId="0" fillId="0" borderId="21" xfId="0" applyBorder="1"/>
    <xf numFmtId="0" fontId="0" fillId="0" borderId="17" xfId="0" applyBorder="1"/>
    <xf numFmtId="0" fontId="0" fillId="0" borderId="18" xfId="0" applyBorder="1"/>
    <xf numFmtId="41" fontId="0" fillId="0" borderId="9" xfId="0" applyNumberFormat="1" applyBorder="1"/>
    <xf numFmtId="41" fontId="0" fillId="0" borderId="12" xfId="0" applyNumberFormat="1" applyBorder="1"/>
    <xf numFmtId="174" fontId="0" fillId="6" borderId="3" xfId="0" applyNumberFormat="1" applyFill="1" applyBorder="1"/>
    <xf numFmtId="0" fontId="2" fillId="6" borderId="7" xfId="0" applyFont="1" applyFill="1" applyBorder="1"/>
    <xf numFmtId="0" fontId="0" fillId="6" borderId="1" xfId="0" applyFill="1" applyBorder="1"/>
    <xf numFmtId="0" fontId="2" fillId="6" borderId="1" xfId="0" applyFont="1" applyFill="1" applyBorder="1"/>
    <xf numFmtId="0" fontId="2" fillId="6" borderId="3" xfId="0" applyFont="1" applyFill="1" applyBorder="1" applyAlignment="1">
      <alignment horizontal="right"/>
    </xf>
    <xf numFmtId="0" fontId="2" fillId="6" borderId="4" xfId="0" applyFont="1" applyFill="1" applyBorder="1" applyAlignment="1">
      <alignment horizontal="right"/>
    </xf>
    <xf numFmtId="0" fontId="0" fillId="6" borderId="11" xfId="0" applyFill="1" applyBorder="1"/>
    <xf numFmtId="0" fontId="0" fillId="6" borderId="8" xfId="0" applyFill="1" applyBorder="1"/>
    <xf numFmtId="174" fontId="0" fillId="6" borderId="9" xfId="0" applyNumberFormat="1" applyFill="1" applyBorder="1"/>
    <xf numFmtId="170" fontId="0" fillId="6" borderId="1" xfId="0" applyNumberFormat="1" applyFill="1" applyBorder="1"/>
    <xf numFmtId="0" fontId="9" fillId="6" borderId="7" xfId="0" applyFont="1" applyFill="1" applyBorder="1" applyAlignment="1">
      <alignment horizontal="right"/>
    </xf>
    <xf numFmtId="10" fontId="9" fillId="6" borderId="1" xfId="0" applyNumberFormat="1" applyFont="1" applyFill="1" applyBorder="1"/>
    <xf numFmtId="0" fontId="11" fillId="2" borderId="5" xfId="0" applyFont="1" applyFill="1" applyBorder="1"/>
    <xf numFmtId="10" fontId="9" fillId="2" borderId="0" xfId="0" applyNumberFormat="1" applyFont="1" applyFill="1"/>
    <xf numFmtId="0" fontId="14" fillId="2" borderId="5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0" fillId="2" borderId="5" xfId="0" quotePrefix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5" fillId="8" borderId="5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left"/>
    </xf>
    <xf numFmtId="0" fontId="5" fillId="8" borderId="5" xfId="0" applyFont="1" applyFill="1" applyBorder="1" applyAlignment="1">
      <alignment horizontal="left"/>
    </xf>
    <xf numFmtId="41" fontId="5" fillId="8" borderId="0" xfId="0" applyNumberFormat="1" applyFont="1" applyFill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10" fillId="6" borderId="9" xfId="0" applyFont="1" applyFill="1" applyBorder="1" applyAlignment="1">
      <alignment horizontal="center" wrapText="1"/>
    </xf>
    <xf numFmtId="0" fontId="13" fillId="5" borderId="5" xfId="0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/>
    </xf>
    <xf numFmtId="0" fontId="13" fillId="4" borderId="0" xfId="0" applyFont="1" applyFill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13" fillId="2" borderId="0" xfId="0" applyFont="1" applyFill="1"/>
    <xf numFmtId="0" fontId="9" fillId="2" borderId="0" xfId="0" applyFont="1" applyFill="1"/>
    <xf numFmtId="0" fontId="16" fillId="8" borderId="0" xfId="0" applyFont="1" applyFill="1"/>
    <xf numFmtId="0" fontId="0" fillId="2" borderId="0" xfId="0" applyFill="1" applyAlignment="1">
      <alignment horizontal="center"/>
    </xf>
    <xf numFmtId="10" fontId="1" fillId="2" borderId="0" xfId="2" applyNumberFormat="1" applyFont="1" applyFill="1" applyBorder="1"/>
    <xf numFmtId="0" fontId="5" fillId="0" borderId="18" xfId="0" quotePrefix="1" applyFont="1" applyBorder="1" applyAlignment="1">
      <alignment horizontal="left" indent="1"/>
    </xf>
    <xf numFmtId="41" fontId="0" fillId="0" borderId="18" xfId="0" applyNumberFormat="1" applyBorder="1"/>
    <xf numFmtId="0" fontId="4" fillId="0" borderId="2" xfId="0" applyFont="1" applyBorder="1"/>
    <xf numFmtId="0" fontId="4" fillId="0" borderId="4" xfId="0" applyFont="1" applyBorder="1"/>
    <xf numFmtId="0" fontId="3" fillId="7" borderId="0" xfId="0" applyFont="1" applyFill="1" applyAlignment="1" applyProtection="1">
      <alignment horizontal="right"/>
      <protection locked="0"/>
    </xf>
    <xf numFmtId="173" fontId="3" fillId="7" borderId="0" xfId="0" applyNumberFormat="1" applyFont="1" applyFill="1" applyAlignment="1" applyProtection="1">
      <alignment horizontal="right"/>
      <protection locked="0"/>
    </xf>
    <xf numFmtId="172" fontId="3" fillId="7" borderId="0" xfId="0" applyNumberFormat="1" applyFont="1" applyFill="1" applyAlignment="1" applyProtection="1">
      <alignment horizontal="right"/>
      <protection locked="0"/>
    </xf>
    <xf numFmtId="171" fontId="3" fillId="7" borderId="0" xfId="0" applyNumberFormat="1" applyFont="1" applyFill="1" applyAlignment="1" applyProtection="1">
      <alignment horizontal="right"/>
      <protection locked="0"/>
    </xf>
    <xf numFmtId="10" fontId="3" fillId="7" borderId="0" xfId="0" applyNumberFormat="1" applyFont="1" applyFill="1" applyAlignment="1" applyProtection="1">
      <alignment horizontal="right"/>
      <protection locked="0"/>
    </xf>
    <xf numFmtId="41" fontId="3" fillId="7" borderId="0" xfId="0" applyNumberFormat="1" applyFont="1" applyFill="1" applyAlignment="1" applyProtection="1">
      <alignment horizontal="right"/>
      <protection locked="0"/>
    </xf>
    <xf numFmtId="41" fontId="3" fillId="7" borderId="6" xfId="0" applyNumberFormat="1" applyFont="1" applyFill="1" applyBorder="1" applyProtection="1">
      <protection locked="0"/>
    </xf>
    <xf numFmtId="10" fontId="3" fillId="7" borderId="8" xfId="0" applyNumberFormat="1" applyFont="1" applyFill="1" applyBorder="1" applyProtection="1">
      <protection locked="0"/>
    </xf>
    <xf numFmtId="0" fontId="3" fillId="7" borderId="6" xfId="0" applyFont="1" applyFill="1" applyBorder="1" applyProtection="1">
      <protection locked="0"/>
    </xf>
    <xf numFmtId="10" fontId="3" fillId="7" borderId="6" xfId="0" applyNumberFormat="1" applyFont="1" applyFill="1" applyBorder="1" applyProtection="1">
      <protection locked="0"/>
    </xf>
    <xf numFmtId="41" fontId="3" fillId="7" borderId="0" xfId="0" applyNumberFormat="1" applyFont="1" applyFill="1" applyProtection="1">
      <protection locked="0"/>
    </xf>
    <xf numFmtId="10" fontId="3" fillId="7" borderId="0" xfId="0" applyNumberFormat="1" applyFont="1" applyFill="1" applyProtection="1">
      <protection locked="0"/>
    </xf>
    <xf numFmtId="172" fontId="3" fillId="7" borderId="0" xfId="0" applyNumberFormat="1" applyFont="1" applyFill="1" applyProtection="1">
      <protection locked="0"/>
    </xf>
    <xf numFmtId="167" fontId="0" fillId="2" borderId="7" xfId="0" applyNumberFormat="1" applyFill="1" applyBorder="1"/>
    <xf numFmtId="169" fontId="0" fillId="2" borderId="1" xfId="0" applyNumberFormat="1" applyFill="1" applyBorder="1"/>
    <xf numFmtId="0" fontId="3" fillId="7" borderId="5" xfId="0" applyFont="1" applyFill="1" applyBorder="1" applyProtection="1">
      <protection locked="0"/>
    </xf>
    <xf numFmtId="165" fontId="3" fillId="7" borderId="0" xfId="0" applyNumberFormat="1" applyFont="1" applyFill="1" applyProtection="1">
      <protection locked="0"/>
    </xf>
    <xf numFmtId="164" fontId="3" fillId="7" borderId="0" xfId="0" applyNumberFormat="1" applyFont="1" applyFill="1" applyProtection="1">
      <protection locked="0"/>
    </xf>
    <xf numFmtId="3" fontId="3" fillId="7" borderId="0" xfId="1" applyNumberFormat="1" applyFont="1" applyFill="1" applyBorder="1" applyProtection="1">
      <protection locked="0"/>
    </xf>
    <xf numFmtId="166" fontId="3" fillId="7" borderId="0" xfId="0" applyNumberFormat="1" applyFont="1" applyFill="1" applyProtection="1">
      <protection locked="0"/>
    </xf>
    <xf numFmtId="167" fontId="3" fillId="7" borderId="0" xfId="0" applyNumberFormat="1" applyFont="1" applyFill="1" applyProtection="1">
      <protection locked="0"/>
    </xf>
    <xf numFmtId="169" fontId="3" fillId="7" borderId="0" xfId="0" applyNumberFormat="1" applyFont="1" applyFill="1" applyProtection="1">
      <protection locked="0"/>
    </xf>
    <xf numFmtId="9" fontId="3" fillId="7" borderId="6" xfId="2" applyFont="1" applyFill="1" applyBorder="1" applyProtection="1">
      <protection locked="0"/>
    </xf>
    <xf numFmtId="0" fontId="3" fillId="7" borderId="7" xfId="0" applyFont="1" applyFill="1" applyBorder="1" applyProtection="1">
      <protection locked="0"/>
    </xf>
    <xf numFmtId="165" fontId="3" fillId="7" borderId="1" xfId="0" applyNumberFormat="1" applyFont="1" applyFill="1" applyBorder="1" applyProtection="1">
      <protection locked="0"/>
    </xf>
    <xf numFmtId="164" fontId="3" fillId="7" borderId="1" xfId="0" applyNumberFormat="1" applyFont="1" applyFill="1" applyBorder="1" applyProtection="1">
      <protection locked="0"/>
    </xf>
    <xf numFmtId="3" fontId="3" fillId="7" borderId="1" xfId="1" applyNumberFormat="1" applyFont="1" applyFill="1" applyBorder="1" applyProtection="1">
      <protection locked="0"/>
    </xf>
    <xf numFmtId="41" fontId="3" fillId="7" borderId="1" xfId="0" applyNumberFormat="1" applyFont="1" applyFill="1" applyBorder="1" applyProtection="1">
      <protection locked="0"/>
    </xf>
    <xf numFmtId="166" fontId="3" fillId="7" borderId="1" xfId="0" applyNumberFormat="1" applyFont="1" applyFill="1" applyBorder="1" applyProtection="1">
      <protection locked="0"/>
    </xf>
    <xf numFmtId="167" fontId="3" fillId="7" borderId="1" xfId="0" applyNumberFormat="1" applyFont="1" applyFill="1" applyBorder="1" applyProtection="1">
      <protection locked="0"/>
    </xf>
    <xf numFmtId="169" fontId="3" fillId="7" borderId="1" xfId="0" applyNumberFormat="1" applyFont="1" applyFill="1" applyBorder="1" applyProtection="1">
      <protection locked="0"/>
    </xf>
    <xf numFmtId="9" fontId="3" fillId="7" borderId="8" xfId="2" applyFont="1" applyFill="1" applyBorder="1" applyProtection="1">
      <protection locked="0"/>
    </xf>
    <xf numFmtId="0" fontId="0" fillId="0" borderId="0" xfId="0" applyProtection="1">
      <protection locked="0"/>
    </xf>
    <xf numFmtId="10" fontId="3" fillId="7" borderId="5" xfId="0" applyNumberFormat="1" applyFont="1" applyFill="1" applyBorder="1" applyProtection="1">
      <protection locked="0"/>
    </xf>
    <xf numFmtId="41" fontId="7" fillId="7" borderId="0" xfId="0" applyNumberFormat="1" applyFont="1" applyFill="1" applyProtection="1">
      <protection locked="0"/>
    </xf>
    <xf numFmtId="41" fontId="3" fillId="7" borderId="11" xfId="0" applyNumberFormat="1" applyFont="1" applyFill="1" applyBorder="1" applyProtection="1">
      <protection locked="0"/>
    </xf>
    <xf numFmtId="41" fontId="3" fillId="7" borderId="9" xfId="0" applyNumberFormat="1" applyFont="1" applyFill="1" applyBorder="1" applyProtection="1">
      <protection locked="0"/>
    </xf>
    <xf numFmtId="41" fontId="3" fillId="7" borderId="12" xfId="0" applyNumberFormat="1" applyFont="1" applyFill="1" applyBorder="1" applyProtection="1">
      <protection locked="0"/>
    </xf>
    <xf numFmtId="179" fontId="3" fillId="7" borderId="0" xfId="0" applyNumberFormat="1" applyFont="1" applyFill="1" applyProtection="1">
      <protection locked="0"/>
    </xf>
    <xf numFmtId="0" fontId="3" fillId="7" borderId="0" xfId="0" applyFont="1" applyFill="1" applyAlignment="1" applyProtection="1">
      <alignment horizont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737CA-1128-2647-BDAF-9CF5342E5D3E}">
  <sheetPr>
    <tabColor theme="4"/>
  </sheetPr>
  <dimension ref="B2:M38"/>
  <sheetViews>
    <sheetView workbookViewId="0">
      <selection activeCell="I26" activeCellId="2" sqref="C6 F19 I26"/>
    </sheetView>
  </sheetViews>
  <sheetFormatPr baseColWidth="10" defaultRowHeight="16" x14ac:dyDescent="0.2"/>
  <cols>
    <col min="2" max="2" width="27.33203125" bestFit="1" customWidth="1"/>
    <col min="3" max="3" width="16.33203125" customWidth="1"/>
    <col min="4" max="4" width="3.1640625" customWidth="1"/>
    <col min="5" max="5" width="22.6640625" bestFit="1" customWidth="1"/>
    <col min="6" max="6" width="20.33203125" bestFit="1" customWidth="1"/>
    <col min="8" max="8" width="25.1640625" bestFit="1" customWidth="1"/>
    <col min="10" max="10" width="11.5" bestFit="1" customWidth="1"/>
  </cols>
  <sheetData>
    <row r="2" spans="2:13" x14ac:dyDescent="0.2">
      <c r="B2" s="43" t="s">
        <v>2</v>
      </c>
      <c r="C2" s="46"/>
      <c r="D2" s="46"/>
      <c r="E2" s="46" t="s">
        <v>6</v>
      </c>
      <c r="F2" s="42"/>
    </row>
    <row r="3" spans="2:13" x14ac:dyDescent="0.2">
      <c r="B3" s="4" t="s">
        <v>0</v>
      </c>
      <c r="C3" s="230" t="s">
        <v>62</v>
      </c>
      <c r="D3" s="11"/>
      <c r="E3" s="5" t="s">
        <v>1</v>
      </c>
      <c r="F3" s="238">
        <v>80</v>
      </c>
      <c r="H3" s="43" t="s">
        <v>37</v>
      </c>
      <c r="I3" s="44" t="s">
        <v>38</v>
      </c>
      <c r="J3" s="45" t="s">
        <v>39</v>
      </c>
    </row>
    <row r="4" spans="2:13" x14ac:dyDescent="0.2">
      <c r="B4" s="4" t="s">
        <v>54</v>
      </c>
      <c r="C4" s="230" t="s">
        <v>63</v>
      </c>
      <c r="D4" s="11"/>
      <c r="E4" s="5" t="s">
        <v>7</v>
      </c>
      <c r="F4" s="236">
        <v>30000</v>
      </c>
      <c r="H4" s="4" t="s">
        <v>40</v>
      </c>
      <c r="I4" s="225">
        <f>Equity_Share_Sponsor</f>
        <v>0.1</v>
      </c>
      <c r="J4" s="29">
        <f>'Investor Returns'!D8</f>
        <v>1966879.1736615384</v>
      </c>
    </row>
    <row r="5" spans="2:13" x14ac:dyDescent="0.2">
      <c r="B5" s="154" t="s">
        <v>64</v>
      </c>
      <c r="C5" s="155">
        <v>0.89</v>
      </c>
      <c r="D5" s="12"/>
      <c r="E5" s="5" t="s">
        <v>8</v>
      </c>
      <c r="F5" s="239">
        <v>0.01</v>
      </c>
      <c r="H5" s="7" t="s">
        <v>41</v>
      </c>
      <c r="I5" s="61">
        <f>1-I4</f>
        <v>0.9</v>
      </c>
      <c r="J5" s="62">
        <f>'Investor Returns'!D9</f>
        <v>17701912.562953845</v>
      </c>
    </row>
    <row r="6" spans="2:13" x14ac:dyDescent="0.2">
      <c r="B6" s="4" t="s">
        <v>3</v>
      </c>
      <c r="C6" s="230" t="s">
        <v>252</v>
      </c>
      <c r="D6" s="11"/>
      <c r="E6" s="5" t="s">
        <v>9</v>
      </c>
      <c r="F6" s="29">
        <f>((1+F5)*Purchase_Price)+(Debt*F30)+F4</f>
        <v>35928791.736615382</v>
      </c>
      <c r="H6" s="208" t="s">
        <v>254</v>
      </c>
      <c r="I6" s="209"/>
      <c r="J6" s="210"/>
    </row>
    <row r="7" spans="2:13" x14ac:dyDescent="0.2">
      <c r="B7" s="4" t="s">
        <v>95</v>
      </c>
      <c r="C7" s="231">
        <v>43842</v>
      </c>
      <c r="D7" s="13"/>
      <c r="E7" s="5" t="s">
        <v>10</v>
      </c>
      <c r="F7" s="30">
        <f>$F$9/Purchase_Price</f>
        <v>6.5000000000000002E-2</v>
      </c>
    </row>
    <row r="8" spans="2:13" x14ac:dyDescent="0.2">
      <c r="B8" s="4" t="s">
        <v>94</v>
      </c>
      <c r="C8" s="232">
        <v>15</v>
      </c>
      <c r="D8" s="14"/>
      <c r="E8" s="5" t="s">
        <v>11</v>
      </c>
      <c r="F8" s="29">
        <f>Purchase_Price/Units</f>
        <v>442278.36307692307</v>
      </c>
    </row>
    <row r="9" spans="2:13" x14ac:dyDescent="0.2">
      <c r="B9" s="4" t="s">
        <v>93</v>
      </c>
      <c r="C9" s="145">
        <f>MIN(Analysis_Period+1,15)</f>
        <v>15</v>
      </c>
      <c r="D9" s="11"/>
      <c r="E9" s="5" t="s">
        <v>12</v>
      </c>
      <c r="F9" s="29">
        <f>'Property Returns'!$D$8</f>
        <v>2299847.4879999999</v>
      </c>
    </row>
    <row r="10" spans="2:13" x14ac:dyDescent="0.2">
      <c r="B10" s="4" t="s">
        <v>92</v>
      </c>
      <c r="C10" s="233">
        <v>5</v>
      </c>
      <c r="D10" s="15"/>
      <c r="E10" s="5" t="s">
        <v>13</v>
      </c>
      <c r="F10" s="29">
        <f>'Property Returns'!$F$8</f>
        <v>2407303.1755925319</v>
      </c>
      <c r="H10" s="1"/>
    </row>
    <row r="11" spans="2:13" x14ac:dyDescent="0.2">
      <c r="B11" s="4" t="s">
        <v>91</v>
      </c>
      <c r="C11" s="234">
        <v>6.5000000000000002E-2</v>
      </c>
      <c r="D11" s="12"/>
      <c r="E11" s="5" t="str">
        <f>"Terminal Cap Rate (Yr "&amp;Terminal_Cap_Year&amp;")"</f>
        <v>Terminal Cap Rate (Yr 15)</v>
      </c>
      <c r="F11" s="30">
        <f>$F$7+(Effective_Hold_Period*($C$10/10000))</f>
        <v>7.2500000000000009E-2</v>
      </c>
      <c r="L11" s="3"/>
      <c r="M11" s="2"/>
    </row>
    <row r="12" spans="2:13" x14ac:dyDescent="0.2">
      <c r="B12" s="4" t="s">
        <v>4</v>
      </c>
      <c r="C12" s="234">
        <v>0.05</v>
      </c>
      <c r="D12" s="12"/>
      <c r="E12" s="5" t="s">
        <v>14</v>
      </c>
      <c r="F12" s="29">
        <f>HLOOKUP(Effective_Hold_Period,'Property Returns'!$D$4:$R$42,10,FALSE)</f>
        <v>37781964.987351075</v>
      </c>
      <c r="L12" s="3"/>
      <c r="M12" s="2"/>
    </row>
    <row r="13" spans="2:13" x14ac:dyDescent="0.2">
      <c r="B13" s="4" t="s">
        <v>5</v>
      </c>
      <c r="C13" s="235">
        <v>210000</v>
      </c>
      <c r="D13" s="16"/>
      <c r="E13" s="5"/>
      <c r="F13" s="6"/>
      <c r="L13" s="3"/>
      <c r="M13" s="2"/>
    </row>
    <row r="14" spans="2:13" x14ac:dyDescent="0.2">
      <c r="B14" s="4" t="s">
        <v>53</v>
      </c>
      <c r="C14" s="142">
        <v>5000000</v>
      </c>
      <c r="D14" s="11"/>
      <c r="E14" s="5" t="s">
        <v>15</v>
      </c>
      <c r="F14" s="236">
        <v>25000</v>
      </c>
      <c r="L14" s="3"/>
      <c r="M14" s="2"/>
    </row>
    <row r="15" spans="2:13" x14ac:dyDescent="0.2">
      <c r="B15" s="7" t="s">
        <v>208</v>
      </c>
      <c r="C15" s="144">
        <f>MIN(Analysis_Period,Terminal_Cap_Year)</f>
        <v>15</v>
      </c>
      <c r="D15" s="8"/>
      <c r="E15" s="8" t="s">
        <v>16</v>
      </c>
      <c r="F15" s="237">
        <v>0.13</v>
      </c>
    </row>
    <row r="17" spans="2:10" x14ac:dyDescent="0.2">
      <c r="B17" s="43" t="s">
        <v>17</v>
      </c>
      <c r="C17" s="46"/>
      <c r="D17" s="46"/>
      <c r="E17" s="47" t="s">
        <v>21</v>
      </c>
      <c r="F17" s="46"/>
      <c r="G17" s="46"/>
      <c r="H17" s="47" t="s">
        <v>42</v>
      </c>
      <c r="I17" s="46"/>
      <c r="J17" s="42"/>
    </row>
    <row r="18" spans="2:10" x14ac:dyDescent="0.2">
      <c r="B18" s="4" t="s">
        <v>18</v>
      </c>
      <c r="C18" s="22">
        <f>IF($C$6="Manual Input", $C$14, IF($C$6="Present Value", $C$19, IF($C$6="Cap Year 1 NOI", $F$9/$C$11,$C$20)))</f>
        <v>35382269.046153843</v>
      </c>
      <c r="D18" s="5"/>
      <c r="E18" s="5" t="s">
        <v>22</v>
      </c>
      <c r="F18" s="240">
        <v>16270000</v>
      </c>
      <c r="G18" s="5"/>
      <c r="H18" s="5" t="s">
        <v>43</v>
      </c>
      <c r="I18" s="241">
        <v>1.4999999999999999E-2</v>
      </c>
      <c r="J18" s="6"/>
    </row>
    <row r="19" spans="2:10" x14ac:dyDescent="0.2">
      <c r="B19" s="4" t="str">
        <f>"Present Value @ "&amp;TEXT($C$12,"0.00%")</f>
        <v>Present Value @ 5.00%</v>
      </c>
      <c r="C19" s="22">
        <f>NPV(Discount_Rate,'Property Returns'!$D$19:$R$19)</f>
        <v>42321157.108061224</v>
      </c>
      <c r="D19" s="5"/>
      <c r="E19" s="5" t="s">
        <v>207</v>
      </c>
      <c r="F19" s="230" t="s">
        <v>18</v>
      </c>
      <c r="G19" s="5"/>
      <c r="H19" s="5" t="s">
        <v>44</v>
      </c>
      <c r="I19" s="241">
        <v>0.01</v>
      </c>
      <c r="J19" s="6"/>
    </row>
    <row r="20" spans="2:10" x14ac:dyDescent="0.2">
      <c r="B20" s="4" t="str">
        <f>"Replacement Cost @ "&amp;$C$13/1000&amp;"k/unit"</f>
        <v>Replacement Cost @ 210k/unit</v>
      </c>
      <c r="C20" s="22">
        <f>$C$13*Units</f>
        <v>16800000</v>
      </c>
      <c r="D20" s="5"/>
      <c r="E20" s="5" t="str">
        <f>"LTV ("&amp;F19&amp;")"</f>
        <v>LTV (Purchase Price)</v>
      </c>
      <c r="F20" s="17">
        <f>IF($F$19="Purchase Price", Debt/Purchase_Price, IF($F$19="DCF Value", Debt/C19, Debt/F12))</f>
        <v>0.45983483927435109</v>
      </c>
      <c r="G20" s="5"/>
      <c r="H20" s="5" t="s">
        <v>45</v>
      </c>
      <c r="I20" s="241">
        <v>0.03</v>
      </c>
      <c r="J20" s="6"/>
    </row>
    <row r="21" spans="2:10" x14ac:dyDescent="0.2">
      <c r="B21" s="4"/>
      <c r="C21" s="5"/>
      <c r="D21" s="5"/>
      <c r="E21" s="5" t="s">
        <v>96</v>
      </c>
      <c r="F21" s="17">
        <f>Debt/Basis</f>
        <v>0.45284016560509838</v>
      </c>
      <c r="G21" s="5"/>
      <c r="H21" s="5" t="s">
        <v>46</v>
      </c>
      <c r="I21" s="241">
        <v>2.5000000000000001E-2</v>
      </c>
      <c r="J21" s="6"/>
    </row>
    <row r="22" spans="2:10" x14ac:dyDescent="0.2">
      <c r="B22" s="4" t="s">
        <v>31</v>
      </c>
      <c r="C22" s="17">
        <f ca="1">HLOOKUP(Effective_Hold_Period,'Property Returns'!$D$4:$S$42,18,FALSE)</f>
        <v>6.6536708039326653E-2</v>
      </c>
      <c r="D22" s="5"/>
      <c r="E22" s="5" t="s">
        <v>30</v>
      </c>
      <c r="F22" s="22">
        <f>Debt*$F$30</f>
        <v>162700</v>
      </c>
      <c r="G22" s="5"/>
      <c r="H22" s="5" t="s">
        <v>47</v>
      </c>
      <c r="I22" s="241">
        <v>0.02</v>
      </c>
      <c r="J22" s="6"/>
    </row>
    <row r="23" spans="2:10" x14ac:dyDescent="0.2">
      <c r="B23" s="4" t="s">
        <v>19</v>
      </c>
      <c r="C23" s="48">
        <f ca="1">HLOOKUP(Effective_Hold_Period,'Property Returns'!$D$4:$S$42,19,FALSE)</f>
        <v>2.0375573963474567</v>
      </c>
      <c r="D23" s="5"/>
      <c r="E23" s="5" t="s">
        <v>97</v>
      </c>
      <c r="F23" s="22">
        <f>Basis-Debt</f>
        <v>19658791.736615382</v>
      </c>
      <c r="G23" s="5"/>
      <c r="H23" s="5"/>
      <c r="I23" s="5"/>
      <c r="J23" s="6"/>
    </row>
    <row r="24" spans="2:10" x14ac:dyDescent="0.2">
      <c r="B24" s="4" t="s">
        <v>20</v>
      </c>
      <c r="C24" s="17">
        <f>HLOOKUP(Effective_Hold_Period,'Property Returns'!$D$4:$S$42,15,FALSE)</f>
        <v>6.5731889189981685E-2</v>
      </c>
      <c r="D24" s="5"/>
      <c r="E24" s="5" t="s">
        <v>98</v>
      </c>
      <c r="F24" s="22">
        <f>Total_Equity</f>
        <v>19668791.736615382</v>
      </c>
      <c r="G24" s="5"/>
      <c r="H24" s="5"/>
      <c r="I24" s="5"/>
      <c r="J24" s="6"/>
    </row>
    <row r="25" spans="2:10" x14ac:dyDescent="0.2">
      <c r="B25" s="4"/>
      <c r="C25" s="5"/>
      <c r="D25" s="5"/>
      <c r="E25" s="5"/>
      <c r="F25" s="5"/>
      <c r="G25" s="5"/>
      <c r="H25" s="5"/>
      <c r="I25" s="5"/>
      <c r="J25" s="6"/>
    </row>
    <row r="26" spans="2:10" x14ac:dyDescent="0.2">
      <c r="B26" s="4" t="s">
        <v>32</v>
      </c>
      <c r="C26" s="17">
        <f ca="1">HLOOKUP(Effective_Hold_Period,'Property Returns'!$D$4:$S$42,36,FALSE)</f>
        <v>0.90252903139175489</v>
      </c>
      <c r="D26" s="5"/>
      <c r="E26" s="5" t="s">
        <v>24</v>
      </c>
      <c r="F26" s="241">
        <v>7.2499999999999995E-2</v>
      </c>
      <c r="G26" s="5"/>
      <c r="H26" s="5" t="s">
        <v>156</v>
      </c>
      <c r="I26" s="230" t="s">
        <v>143</v>
      </c>
      <c r="J26" s="6"/>
    </row>
    <row r="27" spans="2:10" x14ac:dyDescent="0.2">
      <c r="B27" s="4" t="s">
        <v>33</v>
      </c>
      <c r="C27" s="48">
        <f ca="1">HLOOKUP(Effective_Hold_Period,'Property Returns'!$D$4:$S$42,37,FALSE)</f>
        <v>13.610558454263808</v>
      </c>
      <c r="D27" s="5"/>
      <c r="E27" s="5" t="s">
        <v>25</v>
      </c>
      <c r="F27" s="242">
        <v>0</v>
      </c>
      <c r="G27" s="5"/>
      <c r="H27" s="5" t="s">
        <v>188</v>
      </c>
      <c r="I27" s="33">
        <f>SUMPRODUCT('Rent Roll'!C5:C10,'Rent Roll'!F5:F10)</f>
        <v>62520</v>
      </c>
      <c r="J27" s="6"/>
    </row>
    <row r="28" spans="2:10" x14ac:dyDescent="0.2">
      <c r="B28" s="4" t="s">
        <v>34</v>
      </c>
      <c r="C28" s="17">
        <f>HLOOKUP(Effective_Hold_Period,'Property Returns'!$D$4:$S$42,34,FALSE)</f>
        <v>5.2382994935614428E-2</v>
      </c>
      <c r="D28" s="5"/>
      <c r="E28" s="5" t="s">
        <v>26</v>
      </c>
      <c r="F28" s="242">
        <v>30</v>
      </c>
      <c r="G28" s="5"/>
      <c r="H28" s="5"/>
      <c r="I28" s="5"/>
      <c r="J28" s="6"/>
    </row>
    <row r="29" spans="2:10" x14ac:dyDescent="0.2">
      <c r="B29" s="4"/>
      <c r="C29" s="5"/>
      <c r="D29" s="5"/>
      <c r="E29" s="5" t="s">
        <v>27</v>
      </c>
      <c r="F29" s="242">
        <v>10</v>
      </c>
      <c r="G29" s="5"/>
      <c r="H29" s="5"/>
      <c r="I29" s="5"/>
      <c r="J29" s="6"/>
    </row>
    <row r="30" spans="2:10" x14ac:dyDescent="0.2">
      <c r="B30" s="4" t="s">
        <v>35</v>
      </c>
      <c r="C30" s="48">
        <f>MIN('Property Returns'!D28:R28)</f>
        <v>1.7267665363617268</v>
      </c>
      <c r="D30" s="5"/>
      <c r="E30" s="5" t="s">
        <v>29</v>
      </c>
      <c r="F30" s="241">
        <v>0.01</v>
      </c>
      <c r="G30" s="5"/>
      <c r="H30" s="5"/>
      <c r="I30" s="5"/>
      <c r="J30" s="6"/>
    </row>
    <row r="31" spans="2:10" x14ac:dyDescent="0.2">
      <c r="B31" s="7" t="s">
        <v>36</v>
      </c>
      <c r="C31" s="51">
        <f>MIN('Property Returns'!D29:R29)</f>
        <v>0.12697547635090203</v>
      </c>
      <c r="D31" s="8"/>
      <c r="E31" s="8"/>
      <c r="F31" s="8"/>
      <c r="G31" s="8"/>
      <c r="H31" s="8"/>
      <c r="I31" s="8"/>
      <c r="J31" s="9"/>
    </row>
    <row r="33" spans="2:5" x14ac:dyDescent="0.2">
      <c r="B33" s="43" t="s">
        <v>55</v>
      </c>
      <c r="C33" s="47" t="s">
        <v>40</v>
      </c>
      <c r="D33" s="47"/>
      <c r="E33" s="45" t="s">
        <v>61</v>
      </c>
    </row>
    <row r="34" spans="2:5" x14ac:dyDescent="0.2">
      <c r="B34" s="4" t="s">
        <v>56</v>
      </c>
      <c r="C34" s="17">
        <f>'Investor Returns'!D43</f>
        <v>9.1151742394101287E-2</v>
      </c>
      <c r="D34" s="5"/>
      <c r="E34" s="30">
        <f>'Investor Returns'!D29</f>
        <v>4.5842650134712448E-2</v>
      </c>
    </row>
    <row r="35" spans="2:5" x14ac:dyDescent="0.2">
      <c r="B35" s="4" t="s">
        <v>57</v>
      </c>
      <c r="C35" s="22">
        <f>'Investor Returns'!D38</f>
        <v>5350982.3558103964</v>
      </c>
      <c r="D35" s="5"/>
      <c r="E35" s="29">
        <f>'Investor Returns'!D25</f>
        <v>29907409.277265862</v>
      </c>
    </row>
    <row r="36" spans="2:5" x14ac:dyDescent="0.2">
      <c r="B36" s="4" t="s">
        <v>58</v>
      </c>
      <c r="C36" s="22">
        <f>'Investor Returns'!D40</f>
        <v>1966879.1736615384</v>
      </c>
      <c r="D36" s="5"/>
      <c r="E36" s="29">
        <f>'Investor Returns'!D26</f>
        <v>17701912.562953845</v>
      </c>
    </row>
    <row r="37" spans="2:5" x14ac:dyDescent="0.2">
      <c r="B37" s="4" t="s">
        <v>59</v>
      </c>
      <c r="C37" s="22">
        <f>'Investor Returns'!D41</f>
        <v>3704103.182148858</v>
      </c>
      <c r="D37" s="5"/>
      <c r="E37" s="29">
        <f>'Investor Returns'!D27</f>
        <v>12205496.714312017</v>
      </c>
    </row>
    <row r="38" spans="2:5" x14ac:dyDescent="0.2">
      <c r="B38" s="7" t="s">
        <v>60</v>
      </c>
      <c r="C38" s="64">
        <f>'Investor Returns'!D44</f>
        <v>2.8928624883968026</v>
      </c>
      <c r="D38" s="8"/>
      <c r="E38" s="63">
        <f>'Investor Returns'!D30</f>
        <v>1.6895015818717465</v>
      </c>
    </row>
  </sheetData>
  <mergeCells count="1">
    <mergeCell ref="H6:J6"/>
  </mergeCells>
  <conditionalFormatting sqref="B14:C14">
    <cfRule type="expression" dxfId="13" priority="1">
      <formula>$C$6&lt;&gt;"Manual Input"</formula>
    </cfRule>
  </conditionalFormatting>
  <dataValidations count="3">
    <dataValidation type="list" allowBlank="1" showInputMessage="1" showErrorMessage="1" sqref="C6" xr:uid="{3E079709-0C13-1146-9115-87A58E90A290}">
      <formula1>"Manual Input,Present Value,Cap Year 1 NOI,Replacement Cost"</formula1>
    </dataValidation>
    <dataValidation type="list" allowBlank="1" showInputMessage="1" showErrorMessage="1" sqref="I26" xr:uid="{E6E30FAE-38D0-454B-A69F-4EDBB4CC1849}">
      <formula1>"SQFT, SQM"</formula1>
    </dataValidation>
    <dataValidation type="list" allowBlank="1" showInputMessage="1" showErrorMessage="1" sqref="F19" xr:uid="{6B6ABB19-5DB5-1D43-B338-7CF92FAA4E90}">
      <formula1>"Purchase Price, DCF Value, Terminal Value"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D2092-9759-F749-9BBE-B452F9F01F6F}">
  <sheetPr>
    <tabColor theme="4" tint="0.59999389629810485"/>
  </sheetPr>
  <dimension ref="B2:R10"/>
  <sheetViews>
    <sheetView workbookViewId="0"/>
  </sheetViews>
  <sheetFormatPr baseColWidth="10" defaultRowHeight="16" x14ac:dyDescent="0.2"/>
  <cols>
    <col min="4" max="4" width="11" customWidth="1"/>
    <col min="5" max="5" width="8.6640625" customWidth="1"/>
    <col min="6" max="6" width="19.33203125" customWidth="1"/>
    <col min="7" max="7" width="16.83203125" customWidth="1"/>
    <col min="8" max="8" width="16.33203125" customWidth="1"/>
    <col min="9" max="9" width="21.1640625" customWidth="1"/>
    <col min="10" max="10" width="11.1640625" bestFit="1" customWidth="1"/>
    <col min="11" max="11" width="14.5" bestFit="1" customWidth="1"/>
    <col min="12" max="12" width="17.6640625" bestFit="1" customWidth="1"/>
    <col min="13" max="13" width="25.6640625" bestFit="1" customWidth="1"/>
    <col min="14" max="14" width="20.5" bestFit="1" customWidth="1"/>
    <col min="15" max="15" width="20" bestFit="1" customWidth="1"/>
    <col min="17" max="17" width="11.5" bestFit="1" customWidth="1"/>
    <col min="18" max="18" width="13.1640625" bestFit="1" customWidth="1"/>
  </cols>
  <sheetData>
    <row r="2" spans="2:18" x14ac:dyDescent="0.2">
      <c r="B2" s="43" t="s">
        <v>212</v>
      </c>
      <c r="C2" s="46"/>
      <c r="D2" s="46"/>
      <c r="E2" s="46"/>
      <c r="F2" s="46"/>
      <c r="G2" s="143" t="s">
        <v>206</v>
      </c>
      <c r="H2" s="42">
        <f>Units</f>
        <v>80</v>
      </c>
      <c r="I2" s="46"/>
      <c r="J2" s="143" t="s">
        <v>205</v>
      </c>
      <c r="K2" s="42">
        <f>H2-SUM(C5:C10)</f>
        <v>0</v>
      </c>
      <c r="L2" s="46"/>
      <c r="M2" s="46"/>
      <c r="N2" s="46"/>
      <c r="O2" s="46"/>
      <c r="P2" s="46"/>
      <c r="Q2" s="46"/>
      <c r="R2" s="42"/>
    </row>
    <row r="3" spans="2:18" x14ac:dyDescent="0.2">
      <c r="B3" s="41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208" t="s">
        <v>80</v>
      </c>
      <c r="Q3" s="209"/>
      <c r="R3" s="210"/>
    </row>
    <row r="4" spans="2:18" x14ac:dyDescent="0.2">
      <c r="B4" s="28" t="s">
        <v>65</v>
      </c>
      <c r="C4" s="26" t="s">
        <v>86</v>
      </c>
      <c r="D4" s="26" t="s">
        <v>66</v>
      </c>
      <c r="E4" s="26" t="s">
        <v>67</v>
      </c>
      <c r="F4" s="26" t="str">
        <f>"Rentable Area ("&amp;'Property Summary'!$I$26&amp;")"</f>
        <v>Rentable Area (SQFT)</v>
      </c>
      <c r="G4" s="26" t="s">
        <v>68</v>
      </c>
      <c r="H4" s="26" t="s">
        <v>69</v>
      </c>
      <c r="I4" s="26" t="s">
        <v>70</v>
      </c>
      <c r="J4" s="26" t="s">
        <v>71</v>
      </c>
      <c r="K4" s="26" t="s">
        <v>72</v>
      </c>
      <c r="L4" s="26" t="s">
        <v>73</v>
      </c>
      <c r="M4" s="26" t="s">
        <v>74</v>
      </c>
      <c r="N4" s="26" t="s">
        <v>75</v>
      </c>
      <c r="O4" s="27" t="s">
        <v>76</v>
      </c>
      <c r="P4" s="28" t="s">
        <v>77</v>
      </c>
      <c r="Q4" s="26" t="s">
        <v>78</v>
      </c>
      <c r="R4" s="27" t="s">
        <v>79</v>
      </c>
    </row>
    <row r="5" spans="2:18" x14ac:dyDescent="0.2">
      <c r="B5" s="245" t="s">
        <v>81</v>
      </c>
      <c r="C5" s="246">
        <v>22</v>
      </c>
      <c r="D5" s="247">
        <v>0</v>
      </c>
      <c r="E5" s="247">
        <v>1</v>
      </c>
      <c r="F5" s="248">
        <v>470</v>
      </c>
      <c r="G5" s="240">
        <v>2200</v>
      </c>
      <c r="H5" s="240">
        <v>2350</v>
      </c>
      <c r="I5" s="249">
        <v>13</v>
      </c>
      <c r="J5" s="250">
        <v>12</v>
      </c>
      <c r="K5" s="240">
        <v>70</v>
      </c>
      <c r="L5" s="250">
        <v>0</v>
      </c>
      <c r="M5" s="251">
        <v>25</v>
      </c>
      <c r="N5" s="240">
        <v>400</v>
      </c>
      <c r="O5" s="252">
        <v>0.6</v>
      </c>
      <c r="P5" s="10">
        <f>IF($B5&lt;&gt;"", (1-$O5)*$L5, "")</f>
        <v>0</v>
      </c>
      <c r="Q5" s="66">
        <f>IF($B5&lt;&gt;"", (1-$O5)*$M5, "")</f>
        <v>10</v>
      </c>
      <c r="R5" s="29">
        <f>IF($B5&lt;&gt;"", (1-$O5)*$N5, "")</f>
        <v>160</v>
      </c>
    </row>
    <row r="6" spans="2:18" x14ac:dyDescent="0.2">
      <c r="B6" s="245" t="s">
        <v>82</v>
      </c>
      <c r="C6" s="246">
        <v>24</v>
      </c>
      <c r="D6" s="247">
        <v>1</v>
      </c>
      <c r="E6" s="247">
        <v>1</v>
      </c>
      <c r="F6" s="248">
        <v>630</v>
      </c>
      <c r="G6" s="240">
        <v>2340</v>
      </c>
      <c r="H6" s="240">
        <v>2500</v>
      </c>
      <c r="I6" s="249">
        <v>16</v>
      </c>
      <c r="J6" s="250">
        <v>12</v>
      </c>
      <c r="K6" s="240">
        <v>75</v>
      </c>
      <c r="L6" s="250">
        <v>0</v>
      </c>
      <c r="M6" s="251">
        <v>25</v>
      </c>
      <c r="N6" s="240">
        <v>400</v>
      </c>
      <c r="O6" s="252">
        <v>0.6</v>
      </c>
      <c r="P6" s="10">
        <f t="shared" ref="P6:P9" si="0">IF($B6&lt;&gt;"", (1-$O6)*$L6, "")</f>
        <v>0</v>
      </c>
      <c r="Q6" s="66">
        <f t="shared" ref="Q6:Q10" si="1">IF($B6&lt;&gt;"", (1-$O6)*$M6, "")</f>
        <v>10</v>
      </c>
      <c r="R6" s="29">
        <f t="shared" ref="R6:R10" si="2">IF($B6&lt;&gt;"", (1-$O6)*$N6, "")</f>
        <v>160</v>
      </c>
    </row>
    <row r="7" spans="2:18" x14ac:dyDescent="0.2">
      <c r="B7" s="245" t="s">
        <v>83</v>
      </c>
      <c r="C7" s="246">
        <v>20</v>
      </c>
      <c r="D7" s="247">
        <v>2</v>
      </c>
      <c r="E7" s="247">
        <v>2</v>
      </c>
      <c r="F7" s="248">
        <v>955</v>
      </c>
      <c r="G7" s="240">
        <v>4800</v>
      </c>
      <c r="H7" s="240">
        <v>4950</v>
      </c>
      <c r="I7" s="249">
        <v>19</v>
      </c>
      <c r="J7" s="250">
        <v>12</v>
      </c>
      <c r="K7" s="240">
        <v>120</v>
      </c>
      <c r="L7" s="250">
        <v>0</v>
      </c>
      <c r="M7" s="251">
        <v>28</v>
      </c>
      <c r="N7" s="240">
        <v>550</v>
      </c>
      <c r="O7" s="252">
        <v>0.6</v>
      </c>
      <c r="P7" s="10">
        <f t="shared" si="0"/>
        <v>0</v>
      </c>
      <c r="Q7" s="66">
        <f t="shared" si="1"/>
        <v>11.200000000000001</v>
      </c>
      <c r="R7" s="29">
        <f t="shared" si="2"/>
        <v>220</v>
      </c>
    </row>
    <row r="8" spans="2:18" x14ac:dyDescent="0.2">
      <c r="B8" s="245" t="s">
        <v>85</v>
      </c>
      <c r="C8" s="246">
        <v>8</v>
      </c>
      <c r="D8" s="247">
        <v>3</v>
      </c>
      <c r="E8" s="247">
        <v>3</v>
      </c>
      <c r="F8" s="248">
        <v>1120</v>
      </c>
      <c r="G8" s="240">
        <v>5400</v>
      </c>
      <c r="H8" s="240">
        <v>5500</v>
      </c>
      <c r="I8" s="249">
        <v>14</v>
      </c>
      <c r="J8" s="250">
        <v>12</v>
      </c>
      <c r="K8" s="240">
        <v>160</v>
      </c>
      <c r="L8" s="250">
        <v>0</v>
      </c>
      <c r="M8" s="251">
        <v>32</v>
      </c>
      <c r="N8" s="240">
        <v>600</v>
      </c>
      <c r="O8" s="252">
        <v>0.6</v>
      </c>
      <c r="P8" s="10">
        <f t="shared" si="0"/>
        <v>0</v>
      </c>
      <c r="Q8" s="66">
        <f t="shared" si="1"/>
        <v>12.8</v>
      </c>
      <c r="R8" s="29">
        <f t="shared" si="2"/>
        <v>240</v>
      </c>
    </row>
    <row r="9" spans="2:18" x14ac:dyDescent="0.2">
      <c r="B9" s="245" t="s">
        <v>84</v>
      </c>
      <c r="C9" s="246">
        <v>6</v>
      </c>
      <c r="D9" s="247">
        <v>4</v>
      </c>
      <c r="E9" s="247">
        <v>4</v>
      </c>
      <c r="F9" s="248">
        <v>1500</v>
      </c>
      <c r="G9" s="240">
        <v>5900</v>
      </c>
      <c r="H9" s="240">
        <v>6150</v>
      </c>
      <c r="I9" s="249">
        <v>20</v>
      </c>
      <c r="J9" s="250">
        <v>12</v>
      </c>
      <c r="K9" s="240">
        <v>180</v>
      </c>
      <c r="L9" s="250">
        <v>0</v>
      </c>
      <c r="M9" s="251">
        <v>38</v>
      </c>
      <c r="N9" s="240">
        <v>800</v>
      </c>
      <c r="O9" s="252">
        <v>0.6</v>
      </c>
      <c r="P9" s="10">
        <f>IF($B9&lt;&gt;"", (1-$O9)*$L9, "")</f>
        <v>0</v>
      </c>
      <c r="Q9" s="66">
        <f t="shared" si="1"/>
        <v>15.200000000000001</v>
      </c>
      <c r="R9" s="29">
        <f t="shared" si="2"/>
        <v>320</v>
      </c>
    </row>
    <row r="10" spans="2:18" x14ac:dyDescent="0.2">
      <c r="B10" s="253"/>
      <c r="C10" s="254"/>
      <c r="D10" s="255"/>
      <c r="E10" s="255"/>
      <c r="F10" s="256"/>
      <c r="G10" s="257"/>
      <c r="H10" s="257"/>
      <c r="I10" s="258"/>
      <c r="J10" s="259"/>
      <c r="K10" s="257"/>
      <c r="L10" s="259"/>
      <c r="M10" s="260"/>
      <c r="N10" s="257"/>
      <c r="O10" s="261"/>
      <c r="P10" s="243" t="str">
        <f>IF($B10&lt;&gt;"", (1-$O10)*$L10, "")</f>
        <v/>
      </c>
      <c r="Q10" s="244" t="str">
        <f t="shared" si="1"/>
        <v/>
      </c>
      <c r="R10" s="62" t="str">
        <f t="shared" si="2"/>
        <v/>
      </c>
    </row>
  </sheetData>
  <mergeCells count="1">
    <mergeCell ref="P3:R3"/>
  </mergeCells>
  <conditionalFormatting sqref="K2">
    <cfRule type="cellIs" dxfId="12" priority="1" operator="greaterThan">
      <formula>0</formula>
    </cfRule>
    <cfRule type="cellIs" dxfId="11" priority="2" operator="equal">
      <formula>0</formula>
    </cfRule>
    <cfRule type="cellIs" dxfId="10" priority="3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84059-9685-CF48-8C04-7831CAA3E156}">
  <sheetPr>
    <tabColor theme="4" tint="0.59999389629810485"/>
  </sheetPr>
  <dimension ref="A1:S20"/>
  <sheetViews>
    <sheetView workbookViewId="0"/>
  </sheetViews>
  <sheetFormatPr baseColWidth="10" defaultRowHeight="16" x14ac:dyDescent="0.2"/>
  <cols>
    <col min="3" max="3" width="26.6640625" bestFit="1" customWidth="1"/>
    <col min="5" max="5" width="13.1640625" bestFit="1" customWidth="1"/>
  </cols>
  <sheetData>
    <row r="1" spans="1:19" x14ac:dyDescent="0.2">
      <c r="A1" s="262"/>
    </row>
    <row r="2" spans="1:19" x14ac:dyDescent="0.2">
      <c r="B2" s="43" t="s">
        <v>89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2"/>
    </row>
    <row r="3" spans="1:19" x14ac:dyDescent="0.2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</row>
    <row r="4" spans="1:19" x14ac:dyDescent="0.2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6"/>
    </row>
    <row r="5" spans="1:19" ht="34" x14ac:dyDescent="0.2">
      <c r="B5" s="28" t="s">
        <v>90</v>
      </c>
      <c r="C5" s="8"/>
      <c r="D5" s="24" t="s">
        <v>138</v>
      </c>
      <c r="E5" s="25">
        <f>'Property Returns'!D4</f>
        <v>1</v>
      </c>
      <c r="F5" s="25">
        <f>'Property Returns'!E4</f>
        <v>2</v>
      </c>
      <c r="G5" s="25">
        <f>'Property Returns'!F4</f>
        <v>3</v>
      </c>
      <c r="H5" s="25">
        <f>'Property Returns'!G4</f>
        <v>4</v>
      </c>
      <c r="I5" s="25">
        <f>'Property Returns'!H4</f>
        <v>5</v>
      </c>
      <c r="J5" s="25">
        <f>'Property Returns'!I4</f>
        <v>6</v>
      </c>
      <c r="K5" s="25">
        <f>'Property Returns'!J4</f>
        <v>7</v>
      </c>
      <c r="L5" s="25">
        <f>'Property Returns'!K4</f>
        <v>8</v>
      </c>
      <c r="M5" s="25">
        <f>'Property Returns'!L4</f>
        <v>9</v>
      </c>
      <c r="N5" s="25">
        <f>'Property Returns'!M4</f>
        <v>10</v>
      </c>
      <c r="O5" s="25">
        <f>'Property Returns'!N4</f>
        <v>11</v>
      </c>
      <c r="P5" s="25">
        <f>'Property Returns'!O4</f>
        <v>12</v>
      </c>
      <c r="Q5" s="25">
        <f>'Property Returns'!P4</f>
        <v>13</v>
      </c>
      <c r="R5" s="25">
        <f>'Property Returns'!Q4</f>
        <v>14</v>
      </c>
      <c r="S5" s="117">
        <f>'Property Returns'!R4</f>
        <v>15</v>
      </c>
    </row>
    <row r="6" spans="1:19" x14ac:dyDescent="0.2">
      <c r="B6" s="60">
        <f>'Property Summary'!$I$20</f>
        <v>0.03</v>
      </c>
      <c r="C6" s="107" t="s">
        <v>99</v>
      </c>
      <c r="D6" s="22">
        <f t="shared" ref="D6:D14" si="0">E6/Units</f>
        <v>-300</v>
      </c>
      <c r="E6" s="240">
        <v>-24000</v>
      </c>
      <c r="F6" s="22">
        <f>IF(OR(F$5="",F$5=0),"",-ABS((E6*(1+$B6))))</f>
        <v>-24720</v>
      </c>
      <c r="G6" s="22">
        <f t="shared" ref="G6:N6" si="1">IF(OR(G$5="",G$5=0),"",-ABS((F6*(1+$B6))))</f>
        <v>-25461.600000000002</v>
      </c>
      <c r="H6" s="22">
        <f t="shared" si="1"/>
        <v>-26225.448000000004</v>
      </c>
      <c r="I6" s="22">
        <f t="shared" si="1"/>
        <v>-27012.211440000006</v>
      </c>
      <c r="J6" s="22">
        <f t="shared" si="1"/>
        <v>-27822.577783200006</v>
      </c>
      <c r="K6" s="22">
        <f t="shared" si="1"/>
        <v>-28657.255116696007</v>
      </c>
      <c r="L6" s="22">
        <f t="shared" si="1"/>
        <v>-29516.972770196888</v>
      </c>
      <c r="M6" s="22">
        <f t="shared" si="1"/>
        <v>-30402.481953302795</v>
      </c>
      <c r="N6" s="22">
        <f t="shared" si="1"/>
        <v>-31314.556411901878</v>
      </c>
      <c r="O6" s="22">
        <f t="shared" ref="O6:S6" si="2">IF(OR(O$5="",O$5=0),"",-ABS((N6*(1+$B6))))</f>
        <v>-32253.993104258934</v>
      </c>
      <c r="P6" s="22">
        <f t="shared" si="2"/>
        <v>-33221.612897386702</v>
      </c>
      <c r="Q6" s="22">
        <f t="shared" si="2"/>
        <v>-34218.261284308304</v>
      </c>
      <c r="R6" s="22">
        <f t="shared" si="2"/>
        <v>-35244.809122837556</v>
      </c>
      <c r="S6" s="29">
        <f t="shared" si="2"/>
        <v>-36302.153396522684</v>
      </c>
    </row>
    <row r="7" spans="1:19" x14ac:dyDescent="0.2">
      <c r="B7" s="60">
        <f>'Property Summary'!$I$20</f>
        <v>0.03</v>
      </c>
      <c r="C7" s="107" t="s">
        <v>100</v>
      </c>
      <c r="D7" s="22">
        <f t="shared" si="0"/>
        <v>-412.5</v>
      </c>
      <c r="E7" s="240">
        <v>-33000</v>
      </c>
      <c r="F7" s="22">
        <f t="shared" ref="F7:N7" si="3">IF(OR(F$5="",F$5=0),"",-ABS((E7*(1+$B7))))</f>
        <v>-33990</v>
      </c>
      <c r="G7" s="22">
        <f t="shared" si="3"/>
        <v>-35009.700000000004</v>
      </c>
      <c r="H7" s="22">
        <f t="shared" si="3"/>
        <v>-36059.991000000002</v>
      </c>
      <c r="I7" s="22">
        <f t="shared" si="3"/>
        <v>-37141.790730000001</v>
      </c>
      <c r="J7" s="22">
        <f t="shared" si="3"/>
        <v>-38256.044451900001</v>
      </c>
      <c r="K7" s="22">
        <f t="shared" si="3"/>
        <v>-39403.725785457005</v>
      </c>
      <c r="L7" s="22">
        <f t="shared" si="3"/>
        <v>-40585.837559020714</v>
      </c>
      <c r="M7" s="22">
        <f t="shared" si="3"/>
        <v>-41803.412685791336</v>
      </c>
      <c r="N7" s="22">
        <f t="shared" si="3"/>
        <v>-43057.515066365078</v>
      </c>
      <c r="O7" s="22">
        <f t="shared" ref="O7:S7" si="4">IF(OR(O$5="",O$5=0),"",-ABS((N7*(1+$B7))))</f>
        <v>-44349.240518356033</v>
      </c>
      <c r="P7" s="22">
        <f t="shared" si="4"/>
        <v>-45679.717733906713</v>
      </c>
      <c r="Q7" s="22">
        <f t="shared" si="4"/>
        <v>-47050.109265923915</v>
      </c>
      <c r="R7" s="22">
        <f t="shared" si="4"/>
        <v>-48461.612543901632</v>
      </c>
      <c r="S7" s="29">
        <f t="shared" si="4"/>
        <v>-49915.460920218684</v>
      </c>
    </row>
    <row r="8" spans="1:19" x14ac:dyDescent="0.2">
      <c r="B8" s="60">
        <f>'Property Summary'!$I$20</f>
        <v>0.03</v>
      </c>
      <c r="C8" s="107" t="s">
        <v>101</v>
      </c>
      <c r="D8" s="22">
        <f t="shared" si="0"/>
        <v>-1237.5</v>
      </c>
      <c r="E8" s="240">
        <v>-99000</v>
      </c>
      <c r="F8" s="22">
        <f t="shared" ref="F8:N8" si="5">IF(OR(F$5="",F$5=0),"",-ABS((E8*(1+$B8))))</f>
        <v>-101970</v>
      </c>
      <c r="G8" s="22">
        <f t="shared" si="5"/>
        <v>-105029.1</v>
      </c>
      <c r="H8" s="22">
        <f t="shared" si="5"/>
        <v>-108179.97300000001</v>
      </c>
      <c r="I8" s="22">
        <f t="shared" si="5"/>
        <v>-111425.37219000001</v>
      </c>
      <c r="J8" s="22">
        <f t="shared" si="5"/>
        <v>-114768.13335570002</v>
      </c>
      <c r="K8" s="22">
        <f t="shared" si="5"/>
        <v>-118211.17735637102</v>
      </c>
      <c r="L8" s="22">
        <f t="shared" si="5"/>
        <v>-121757.51267706214</v>
      </c>
      <c r="M8" s="22">
        <f t="shared" si="5"/>
        <v>-125410.23805737401</v>
      </c>
      <c r="N8" s="22">
        <f t="shared" si="5"/>
        <v>-129172.54519909523</v>
      </c>
      <c r="O8" s="22">
        <f t="shared" ref="O8:S8" si="6">IF(OR(O$5="",O$5=0),"",-ABS((N8*(1+$B8))))</f>
        <v>-133047.7215550681</v>
      </c>
      <c r="P8" s="22">
        <f t="shared" si="6"/>
        <v>-137039.15320172015</v>
      </c>
      <c r="Q8" s="22">
        <f t="shared" si="6"/>
        <v>-141150.32779777175</v>
      </c>
      <c r="R8" s="22">
        <f t="shared" si="6"/>
        <v>-145384.8376317049</v>
      </c>
      <c r="S8" s="29">
        <f t="shared" si="6"/>
        <v>-149746.38276065604</v>
      </c>
    </row>
    <row r="9" spans="1:19" x14ac:dyDescent="0.2">
      <c r="B9" s="60">
        <f>'Property Summary'!$I$20</f>
        <v>0.03</v>
      </c>
      <c r="C9" s="107" t="s">
        <v>102</v>
      </c>
      <c r="D9" s="22">
        <f t="shared" si="0"/>
        <v>-1900</v>
      </c>
      <c r="E9" s="240">
        <v>-152000</v>
      </c>
      <c r="F9" s="22">
        <f t="shared" ref="F9:N9" si="7">IF(OR(F$5="",F$5=0),"",-ABS((E9*(1+$B9))))</f>
        <v>-156560</v>
      </c>
      <c r="G9" s="22">
        <f t="shared" si="7"/>
        <v>-161256.80000000002</v>
      </c>
      <c r="H9" s="22">
        <f t="shared" si="7"/>
        <v>-166094.50400000002</v>
      </c>
      <c r="I9" s="22">
        <f t="shared" si="7"/>
        <v>-171077.33912000002</v>
      </c>
      <c r="J9" s="22">
        <f t="shared" si="7"/>
        <v>-176209.65929360004</v>
      </c>
      <c r="K9" s="22">
        <f t="shared" si="7"/>
        <v>-181495.94907240805</v>
      </c>
      <c r="L9" s="22">
        <f t="shared" si="7"/>
        <v>-186940.8275445803</v>
      </c>
      <c r="M9" s="22">
        <f t="shared" si="7"/>
        <v>-192549.05237091772</v>
      </c>
      <c r="N9" s="22">
        <f t="shared" si="7"/>
        <v>-198325.52394204526</v>
      </c>
      <c r="O9" s="22">
        <f t="shared" ref="O9:S9" si="8">IF(OR(O$5="",O$5=0),"",-ABS((N9*(1+$B9))))</f>
        <v>-204275.28966030662</v>
      </c>
      <c r="P9" s="22">
        <f t="shared" si="8"/>
        <v>-210403.54835011583</v>
      </c>
      <c r="Q9" s="22">
        <f t="shared" si="8"/>
        <v>-216715.65480061932</v>
      </c>
      <c r="R9" s="22">
        <f t="shared" si="8"/>
        <v>-223217.12444463791</v>
      </c>
      <c r="S9" s="29">
        <f t="shared" si="8"/>
        <v>-229913.63817797706</v>
      </c>
    </row>
    <row r="10" spans="1:19" x14ac:dyDescent="0.2">
      <c r="B10" s="60">
        <f>'Property Summary'!$I$20</f>
        <v>0.03</v>
      </c>
      <c r="C10" s="107" t="s">
        <v>103</v>
      </c>
      <c r="D10" s="22">
        <f t="shared" si="0"/>
        <v>-1055</v>
      </c>
      <c r="E10" s="240">
        <v>-84400</v>
      </c>
      <c r="F10" s="22">
        <f t="shared" ref="F10:N10" si="9">IF(OR(F$5="",F$5=0),"",-ABS((E10*(1+$B10))))</f>
        <v>-86932</v>
      </c>
      <c r="G10" s="22">
        <f t="shared" si="9"/>
        <v>-89539.96</v>
      </c>
      <c r="H10" s="22">
        <f t="shared" si="9"/>
        <v>-92226.158800000005</v>
      </c>
      <c r="I10" s="22">
        <f t="shared" si="9"/>
        <v>-94992.943564000001</v>
      </c>
      <c r="J10" s="22">
        <f t="shared" si="9"/>
        <v>-97842.731870920004</v>
      </c>
      <c r="K10" s="22">
        <f t="shared" si="9"/>
        <v>-100778.0138270476</v>
      </c>
      <c r="L10" s="22">
        <f t="shared" si="9"/>
        <v>-103801.35424185904</v>
      </c>
      <c r="M10" s="22">
        <f t="shared" si="9"/>
        <v>-106915.39486911481</v>
      </c>
      <c r="N10" s="22">
        <f t="shared" si="9"/>
        <v>-110122.85671518826</v>
      </c>
      <c r="O10" s="22">
        <f t="shared" ref="O10:S10" si="10">IF(OR(O$5="",O$5=0),"",-ABS((N10*(1+$B10))))</f>
        <v>-113426.5424166439</v>
      </c>
      <c r="P10" s="22">
        <f t="shared" si="10"/>
        <v>-116829.33868914323</v>
      </c>
      <c r="Q10" s="22">
        <f t="shared" si="10"/>
        <v>-120334.21884981754</v>
      </c>
      <c r="R10" s="22">
        <f t="shared" si="10"/>
        <v>-123944.24541531206</v>
      </c>
      <c r="S10" s="29">
        <f t="shared" si="10"/>
        <v>-127662.57277777143</v>
      </c>
    </row>
    <row r="11" spans="1:19" x14ac:dyDescent="0.2">
      <c r="B11" s="263">
        <v>0.03</v>
      </c>
      <c r="C11" s="107" t="s">
        <v>104</v>
      </c>
      <c r="D11" s="22">
        <f t="shared" si="0"/>
        <v>-1102.2864</v>
      </c>
      <c r="E11" s="22">
        <f>IF(OR(E$5="",E$5=0),"",(-$B11*'Annual Cash Flow'!E11))</f>
        <v>-88182.911999999997</v>
      </c>
      <c r="F11" s="22">
        <f t="shared" ref="F11:N11" si="11">IF(OR(F$5="",F$5=0),"",-ABS((E11*(1+$B11))))</f>
        <v>-90828.399359999996</v>
      </c>
      <c r="G11" s="22">
        <f t="shared" si="11"/>
        <v>-93553.251340799994</v>
      </c>
      <c r="H11" s="22">
        <f t="shared" si="11"/>
        <v>-96359.848881023994</v>
      </c>
      <c r="I11" s="22">
        <f t="shared" si="11"/>
        <v>-99250.644347454712</v>
      </c>
      <c r="J11" s="22">
        <f t="shared" si="11"/>
        <v>-102228.16367787836</v>
      </c>
      <c r="K11" s="22">
        <f t="shared" si="11"/>
        <v>-105295.00858821471</v>
      </c>
      <c r="L11" s="22">
        <f t="shared" si="11"/>
        <v>-108453.85884586115</v>
      </c>
      <c r="M11" s="22">
        <f t="shared" si="11"/>
        <v>-111707.47461123699</v>
      </c>
      <c r="N11" s="22">
        <f t="shared" si="11"/>
        <v>-115058.69884957411</v>
      </c>
      <c r="O11" s="22">
        <f t="shared" ref="O11:S11" si="12">IF(OR(O$5="",O$5=0),"",-ABS((N11*(1+$B11))))</f>
        <v>-118510.45981506133</v>
      </c>
      <c r="P11" s="22">
        <f t="shared" si="12"/>
        <v>-122065.77360951317</v>
      </c>
      <c r="Q11" s="22">
        <f t="shared" si="12"/>
        <v>-125727.74681779857</v>
      </c>
      <c r="R11" s="22">
        <f t="shared" si="12"/>
        <v>-129499.57922233253</v>
      </c>
      <c r="S11" s="29">
        <f t="shared" si="12"/>
        <v>-133384.56659900252</v>
      </c>
    </row>
    <row r="12" spans="1:19" x14ac:dyDescent="0.2">
      <c r="B12" s="60">
        <f>'Property Summary'!$I$20</f>
        <v>0.03</v>
      </c>
      <c r="C12" s="107" t="s">
        <v>105</v>
      </c>
      <c r="D12" s="22">
        <f t="shared" si="0"/>
        <v>-487.5</v>
      </c>
      <c r="E12" s="240">
        <v>-39000</v>
      </c>
      <c r="F12" s="22">
        <f t="shared" ref="F12:N12" si="13">IF(OR(F$5="",F$5=0),"",-ABS((E12*(1+$B12))))</f>
        <v>-40170</v>
      </c>
      <c r="G12" s="22">
        <f t="shared" si="13"/>
        <v>-41375.1</v>
      </c>
      <c r="H12" s="22">
        <f t="shared" si="13"/>
        <v>-42616.353000000003</v>
      </c>
      <c r="I12" s="22">
        <f t="shared" si="13"/>
        <v>-43894.843590000004</v>
      </c>
      <c r="J12" s="22">
        <f t="shared" si="13"/>
        <v>-45211.688897700005</v>
      </c>
      <c r="K12" s="22">
        <f t="shared" si="13"/>
        <v>-46568.039564631006</v>
      </c>
      <c r="L12" s="22">
        <f t="shared" si="13"/>
        <v>-47965.080751569934</v>
      </c>
      <c r="M12" s="22">
        <f t="shared" si="13"/>
        <v>-49404.03317411703</v>
      </c>
      <c r="N12" s="22">
        <f t="shared" si="13"/>
        <v>-50886.154169340545</v>
      </c>
      <c r="O12" s="22">
        <f t="shared" ref="O12:S12" si="14">IF(OR(O$5="",O$5=0),"",-ABS((N12*(1+$B12))))</f>
        <v>-52412.738794420766</v>
      </c>
      <c r="P12" s="22">
        <f t="shared" si="14"/>
        <v>-53985.120958253392</v>
      </c>
      <c r="Q12" s="22">
        <f t="shared" si="14"/>
        <v>-55604.674587000998</v>
      </c>
      <c r="R12" s="22">
        <f t="shared" si="14"/>
        <v>-57272.814824611029</v>
      </c>
      <c r="S12" s="29">
        <f t="shared" si="14"/>
        <v>-58990.999269349362</v>
      </c>
    </row>
    <row r="13" spans="1:19" ht="19" x14ac:dyDescent="0.35">
      <c r="B13" s="60">
        <f>'Property Summary'!$I$20</f>
        <v>0.03</v>
      </c>
      <c r="C13" s="107" t="s">
        <v>106</v>
      </c>
      <c r="D13" s="23">
        <f t="shared" si="0"/>
        <v>-1500</v>
      </c>
      <c r="E13" s="264">
        <v>-120000</v>
      </c>
      <c r="F13" s="23">
        <f t="shared" ref="F13:N13" si="15">IF(OR(F$5="",F$5=0),"",-ABS((E13*(1+$B13))))</f>
        <v>-123600</v>
      </c>
      <c r="G13" s="23">
        <f t="shared" si="15"/>
        <v>-127308</v>
      </c>
      <c r="H13" s="23">
        <f t="shared" si="15"/>
        <v>-131127.24</v>
      </c>
      <c r="I13" s="23">
        <f t="shared" si="15"/>
        <v>-135061.05719999998</v>
      </c>
      <c r="J13" s="23">
        <f t="shared" si="15"/>
        <v>-139112.888916</v>
      </c>
      <c r="K13" s="23">
        <f t="shared" si="15"/>
        <v>-143286.27558347999</v>
      </c>
      <c r="L13" s="23">
        <f t="shared" si="15"/>
        <v>-147584.8638509844</v>
      </c>
      <c r="M13" s="23">
        <f t="shared" si="15"/>
        <v>-152012.40976651394</v>
      </c>
      <c r="N13" s="23">
        <f t="shared" si="15"/>
        <v>-156572.78205950937</v>
      </c>
      <c r="O13" s="23">
        <f t="shared" ref="O13:S13" si="16">IF(OR(O$5="",O$5=0),"",-ABS((N13*(1+$B13))))</f>
        <v>-161269.96552129465</v>
      </c>
      <c r="P13" s="23">
        <f t="shared" si="16"/>
        <v>-166108.06448693349</v>
      </c>
      <c r="Q13" s="23">
        <f t="shared" si="16"/>
        <v>-171091.30642154149</v>
      </c>
      <c r="R13" s="23">
        <f t="shared" si="16"/>
        <v>-176224.04561418775</v>
      </c>
      <c r="S13" s="108">
        <f t="shared" si="16"/>
        <v>-181510.76698261339</v>
      </c>
    </row>
    <row r="14" spans="1:19" x14ac:dyDescent="0.2">
      <c r="B14" s="60">
        <f>'Property Summary'!$I$20</f>
        <v>0.03</v>
      </c>
      <c r="C14" s="109" t="s">
        <v>45</v>
      </c>
      <c r="D14" s="22">
        <f t="shared" si="0"/>
        <v>-7994.7864</v>
      </c>
      <c r="E14" s="22" cm="1">
        <f t="array" ref="E14">IF(OR(E5="",E5=0),"",-SUM(ABS(E6:E13)))</f>
        <v>-639582.91200000001</v>
      </c>
      <c r="F14" s="22">
        <f t="shared" ref="F14:N14" si="17">IF(OR(F$5="",F$5=0),"",-ABS((E14*(1+$B14))))</f>
        <v>-658770.39936000004</v>
      </c>
      <c r="G14" s="22">
        <f t="shared" si="17"/>
        <v>-678533.51134080009</v>
      </c>
      <c r="H14" s="22">
        <f t="shared" si="17"/>
        <v>-698889.51668102411</v>
      </c>
      <c r="I14" s="22">
        <f t="shared" si="17"/>
        <v>-719856.20218145486</v>
      </c>
      <c r="J14" s="22">
        <f t="shared" si="17"/>
        <v>-741451.88824689854</v>
      </c>
      <c r="K14" s="22">
        <f t="shared" si="17"/>
        <v>-763695.44489430555</v>
      </c>
      <c r="L14" s="22">
        <f t="shared" si="17"/>
        <v>-786606.30824113474</v>
      </c>
      <c r="M14" s="22">
        <f t="shared" si="17"/>
        <v>-810204.49748836877</v>
      </c>
      <c r="N14" s="22">
        <f t="shared" si="17"/>
        <v>-834510.63241301989</v>
      </c>
      <c r="O14" s="22">
        <f t="shared" ref="O14:S14" si="18">IF(OR(O$5="",O$5=0),"",-ABS((N14*(1+$B14))))</f>
        <v>-859545.9513854105</v>
      </c>
      <c r="P14" s="22">
        <f t="shared" si="18"/>
        <v>-885332.32992697286</v>
      </c>
      <c r="Q14" s="22">
        <f t="shared" si="18"/>
        <v>-911892.29982478207</v>
      </c>
      <c r="R14" s="22">
        <f t="shared" si="18"/>
        <v>-939249.06881952554</v>
      </c>
      <c r="S14" s="29">
        <f t="shared" si="18"/>
        <v>-967426.54088411131</v>
      </c>
    </row>
    <row r="15" spans="1:19" x14ac:dyDescent="0.2"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9"/>
    </row>
    <row r="18" spans="2:19" x14ac:dyDescent="0.2">
      <c r="D18" s="114" t="s">
        <v>87</v>
      </c>
      <c r="E18" s="110">
        <f>E5</f>
        <v>1</v>
      </c>
      <c r="F18" s="110">
        <f t="shared" ref="F18:M18" si="19">F5</f>
        <v>2</v>
      </c>
      <c r="G18" s="110">
        <f t="shared" si="19"/>
        <v>3</v>
      </c>
      <c r="H18" s="110">
        <f t="shared" si="19"/>
        <v>4</v>
      </c>
      <c r="I18" s="110">
        <f t="shared" si="19"/>
        <v>5</v>
      </c>
      <c r="J18" s="110">
        <f t="shared" si="19"/>
        <v>6</v>
      </c>
      <c r="K18" s="110">
        <f t="shared" si="19"/>
        <v>7</v>
      </c>
      <c r="L18" s="110">
        <f t="shared" si="19"/>
        <v>8</v>
      </c>
      <c r="M18" s="110">
        <f t="shared" si="19"/>
        <v>9</v>
      </c>
      <c r="N18" s="110">
        <f t="shared" ref="N18:R18" si="20">N5</f>
        <v>10</v>
      </c>
      <c r="O18" s="110">
        <f t="shared" si="20"/>
        <v>11</v>
      </c>
      <c r="P18" s="110">
        <f t="shared" si="20"/>
        <v>12</v>
      </c>
      <c r="Q18" s="110">
        <f t="shared" si="20"/>
        <v>13</v>
      </c>
      <c r="R18" s="110">
        <f t="shared" si="20"/>
        <v>14</v>
      </c>
      <c r="S18" s="111">
        <f t="shared" ref="S18" si="21">S5</f>
        <v>15</v>
      </c>
    </row>
    <row r="19" spans="2:19" x14ac:dyDescent="0.2">
      <c r="B19" s="1" t="s">
        <v>139</v>
      </c>
      <c r="E19" s="265">
        <v>350000</v>
      </c>
      <c r="F19" s="266">
        <v>200000</v>
      </c>
      <c r="G19" s="266">
        <v>0</v>
      </c>
      <c r="H19" s="266">
        <v>0</v>
      </c>
      <c r="I19" s="266">
        <v>0</v>
      </c>
      <c r="J19" s="266">
        <v>0</v>
      </c>
      <c r="K19" s="266">
        <v>0</v>
      </c>
      <c r="L19" s="266">
        <v>0</v>
      </c>
      <c r="M19" s="266">
        <v>0</v>
      </c>
      <c r="N19" s="266">
        <v>0</v>
      </c>
      <c r="O19" s="266">
        <v>0</v>
      </c>
      <c r="P19" s="266">
        <v>0</v>
      </c>
      <c r="Q19" s="266">
        <v>0</v>
      </c>
      <c r="R19" s="266">
        <v>0</v>
      </c>
      <c r="S19" s="267">
        <v>0</v>
      </c>
    </row>
    <row r="20" spans="2:19" x14ac:dyDescent="0.2">
      <c r="B20" t="s">
        <v>132</v>
      </c>
      <c r="E20" s="115">
        <f>IF(OR(E18="",E18=0),"",-ABS(E19))</f>
        <v>-350000</v>
      </c>
      <c r="F20" s="112">
        <f t="shared" ref="F20:M20" si="22">IF(OR(F18="",F18=0),"",-ABS(F19))</f>
        <v>-200000</v>
      </c>
      <c r="G20" s="112">
        <f t="shared" si="22"/>
        <v>0</v>
      </c>
      <c r="H20" s="112">
        <f t="shared" si="22"/>
        <v>0</v>
      </c>
      <c r="I20" s="112">
        <f t="shared" si="22"/>
        <v>0</v>
      </c>
      <c r="J20" s="112">
        <f t="shared" si="22"/>
        <v>0</v>
      </c>
      <c r="K20" s="112">
        <f t="shared" si="22"/>
        <v>0</v>
      </c>
      <c r="L20" s="112">
        <f t="shared" si="22"/>
        <v>0</v>
      </c>
      <c r="M20" s="112">
        <f t="shared" si="22"/>
        <v>0</v>
      </c>
      <c r="N20" s="112">
        <f t="shared" ref="N20" si="23">IF(OR(N18="",N18=0),"",-ABS(N19))</f>
        <v>0</v>
      </c>
      <c r="O20" s="112">
        <f t="shared" ref="O20" si="24">IF(OR(O18="",O18=0),"",-ABS(O19))</f>
        <v>0</v>
      </c>
      <c r="P20" s="112">
        <f t="shared" ref="P20" si="25">IF(OR(P18="",P18=0),"",-ABS(P19))</f>
        <v>0</v>
      </c>
      <c r="Q20" s="112">
        <f t="shared" ref="Q20" si="26">IF(OR(Q18="",Q18=0),"",-ABS(Q19))</f>
        <v>0</v>
      </c>
      <c r="R20" s="112">
        <f t="shared" ref="R20" si="27">IF(OR(R18="",R18=0),"",-ABS(R19))</f>
        <v>0</v>
      </c>
      <c r="S20" s="113">
        <f t="shared" ref="S20" si="28">IF(OR(S18="",S18=0),"",-ABS(S19))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3312F-8563-884D-A37D-AC1A762349A7}">
  <sheetPr>
    <tabColor theme="9" tint="0.59999389629810485"/>
  </sheetPr>
  <dimension ref="B2:S31"/>
  <sheetViews>
    <sheetView workbookViewId="0"/>
  </sheetViews>
  <sheetFormatPr baseColWidth="10" defaultRowHeight="16" x14ac:dyDescent="0.2"/>
  <cols>
    <col min="2" max="2" width="27.1640625" bestFit="1" customWidth="1"/>
    <col min="4" max="4" width="12.6640625" customWidth="1"/>
    <col min="5" max="5" width="11.1640625" bestFit="1" customWidth="1"/>
  </cols>
  <sheetData>
    <row r="2" spans="2:19" x14ac:dyDescent="0.2">
      <c r="B2" s="43" t="s">
        <v>107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2" t="s">
        <v>6</v>
      </c>
    </row>
    <row r="3" spans="2:19" x14ac:dyDescent="0.2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</row>
    <row r="4" spans="2:19" x14ac:dyDescent="0.2">
      <c r="B4" s="7"/>
      <c r="C4" s="8"/>
      <c r="D4" s="8" t="s">
        <v>128</v>
      </c>
      <c r="E4" s="25">
        <f>'Property Returns'!D4</f>
        <v>1</v>
      </c>
      <c r="F4" s="25">
        <f>'Property Returns'!E4</f>
        <v>2</v>
      </c>
      <c r="G4" s="25">
        <f>'Property Returns'!F4</f>
        <v>3</v>
      </c>
      <c r="H4" s="25">
        <f>'Property Returns'!G4</f>
        <v>4</v>
      </c>
      <c r="I4" s="25">
        <f>'Property Returns'!H4</f>
        <v>5</v>
      </c>
      <c r="J4" s="25">
        <f>'Property Returns'!I4</f>
        <v>6</v>
      </c>
      <c r="K4" s="25">
        <f>'Property Returns'!J4</f>
        <v>7</v>
      </c>
      <c r="L4" s="25">
        <f>'Property Returns'!K4</f>
        <v>8</v>
      </c>
      <c r="M4" s="25">
        <f>'Property Returns'!L4</f>
        <v>9</v>
      </c>
      <c r="N4" s="25">
        <f>'Property Returns'!M4</f>
        <v>10</v>
      </c>
      <c r="O4" s="25">
        <f>'Property Returns'!N4</f>
        <v>11</v>
      </c>
      <c r="P4" s="25">
        <f>'Property Returns'!O4</f>
        <v>12</v>
      </c>
      <c r="Q4" s="25">
        <f>'Property Returns'!P4</f>
        <v>13</v>
      </c>
      <c r="R4" s="25">
        <f>'Property Returns'!Q4</f>
        <v>14</v>
      </c>
      <c r="S4" s="117">
        <f>'Property Returns'!R4</f>
        <v>15</v>
      </c>
    </row>
    <row r="5" spans="2:19" x14ac:dyDescent="0.2">
      <c r="B5" s="118" t="s">
        <v>108</v>
      </c>
      <c r="C5" s="5"/>
      <c r="D5" s="5"/>
      <c r="E5" s="22">
        <f>IF(OR(E$4="",E$4=0),"",SUMIF(Calculations!C$13:FZ$13,E4,Calculations!C$22:FZ$22))</f>
        <v>3349920</v>
      </c>
      <c r="F5" s="22">
        <f>IF(OR(F$4="",F$4=0),"",SUMIF(Calculations!D$13:GA$13,F4,Calculations!D$22:GA$22))</f>
        <v>3510255.7</v>
      </c>
      <c r="G5" s="22">
        <f>IF(OR(G$4="",G$4=0),"",SUMIF(Calculations!E$13:GB$13,G4,Calculations!E$22:GB$22))</f>
        <v>3604963.3199999989</v>
      </c>
      <c r="H5" s="22">
        <f>IF(OR(H$4="",H$4=0),"",SUMIF(Calculations!F$13:GC$13,H4,Calculations!F$22:GC$22))</f>
        <v>3659037.7697999994</v>
      </c>
      <c r="I5" s="22">
        <f>IF(OR(I$4="",I$4=0),"",SUMIF(Calculations!G$13:GD$13,I4,Calculations!G$22:GD$22))</f>
        <v>3713923.3363469969</v>
      </c>
      <c r="J5" s="22">
        <f>IF(OR(J$4="",J$4=0),"",SUMIF(Calculations!H$13:GE$13,J4,Calculations!H$22:GE$22))</f>
        <v>3769632.1863922025</v>
      </c>
      <c r="K5" s="22">
        <f>IF(OR(K$4="",K$4=0),"",SUMIF(Calculations!I$13:GF$13,K4,Calculations!I$22:GF$22))</f>
        <v>3826176.6691880841</v>
      </c>
      <c r="L5" s="22">
        <f>IF(OR(L$4="",L$4=0),"",SUMIF(Calculations!J$13:GG$13,L4,Calculations!J$22:GG$22))</f>
        <v>3883569.3192259055</v>
      </c>
      <c r="M5" s="22">
        <f>IF(OR(M$4="",M$4=0),"",SUMIF(Calculations!K$13:GH$13,M4,Calculations!K$22:GH$22))</f>
        <v>3941822.8590142936</v>
      </c>
      <c r="N5" s="22">
        <f>IF(OR(N$4="",N$4=0),"",SUMIF(Calculations!L$13:GI$13,N4,Calculations!L$22:GI$22))</f>
        <v>4000950.2018995066</v>
      </c>
      <c r="O5" s="22">
        <f>IF(OR(O$4="",O$4=0),"",SUMIF(Calculations!M$13:GJ$13,O4,Calculations!M$22:GJ$22))</f>
        <v>4060964.454928</v>
      </c>
      <c r="P5" s="22">
        <f>IF(OR(P$4="",P$4=0),"",SUMIF(Calculations!N$13:GK$13,P4,Calculations!N$22:GK$22))</f>
        <v>4121878.9217519201</v>
      </c>
      <c r="Q5" s="22">
        <f>IF(OR(Q$4="",Q$4=0),"",SUMIF(Calculations!O$13:GL$13,Q4,Calculations!O$22:GL$22))</f>
        <v>4183707.1055781967</v>
      </c>
      <c r="R5" s="22">
        <f>IF(OR(R$4="",R$4=0),"",SUMIF(Calculations!P$13:GM$13,R4,Calculations!P$22:GM$22))</f>
        <v>4246462.7121618707</v>
      </c>
      <c r="S5" s="29">
        <f>IF(OR(S$4="",S$4=0),"",SUMIF(Calculations!Q$13:GN$13,S4,Calculations!Q$22:GN$22))</f>
        <v>4310159.6528442968</v>
      </c>
    </row>
    <row r="6" spans="2:19" x14ac:dyDescent="0.2">
      <c r="B6" s="118" t="s">
        <v>109</v>
      </c>
      <c r="C6" s="5"/>
      <c r="D6" s="119">
        <f>AVERAGE(E6:P6)/AVERAGE(E7:P7)</f>
        <v>6.9287912005008487E-3</v>
      </c>
      <c r="E6" s="120">
        <f>IF(OR(E$4="",E$4=0),"",'Property Summary'!$F$14*(1+'Property Summary'!$I$19)^(E4-1))</f>
        <v>25000</v>
      </c>
      <c r="F6" s="120">
        <f>IF(OR(F$4="",F$4=0),"",'Property Summary'!$F$14*(1+'Property Summary'!$I$19)^(F4-1))</f>
        <v>25250</v>
      </c>
      <c r="G6" s="120">
        <f>IF(OR(G$4="",G$4=0),"",'Property Summary'!$F$14*(1+'Property Summary'!$I$19)^(G4-1))</f>
        <v>25502.5</v>
      </c>
      <c r="H6" s="120">
        <f>IF(OR(H$4="",H$4=0),"",'Property Summary'!$F$14*(1+'Property Summary'!$I$19)^(H4-1))</f>
        <v>25757.524999999998</v>
      </c>
      <c r="I6" s="120">
        <f>IF(OR(I$4="",I$4=0),"",'Property Summary'!$F$14*(1+'Property Summary'!$I$19)^(I4-1))</f>
        <v>26015.10025</v>
      </c>
      <c r="J6" s="120">
        <f>IF(OR(J$4="",J$4=0),"",'Property Summary'!$F$14*(1+'Property Summary'!$I$19)^(J4-1))</f>
        <v>26275.251252499998</v>
      </c>
      <c r="K6" s="120">
        <f>IF(OR(K$4="",K$4=0),"",'Property Summary'!$F$14*(1+'Property Summary'!$I$19)^(K4-1))</f>
        <v>26538.003765025005</v>
      </c>
      <c r="L6" s="120">
        <f>IF(OR(L$4="",L$4=0),"",'Property Summary'!$F$14*(1+'Property Summary'!$I$19)^(L4-1))</f>
        <v>26803.383802675246</v>
      </c>
      <c r="M6" s="120">
        <f>IF(OR(M$4="",M$4=0),"",'Property Summary'!$F$14*(1+'Property Summary'!$I$19)^(M4-1))</f>
        <v>27071.417640702006</v>
      </c>
      <c r="N6" s="120">
        <f>IF(OR(N$4="",N$4=0),"",'Property Summary'!$F$14*(1+'Property Summary'!$I$19)^(N4-1))</f>
        <v>27342.131817109028</v>
      </c>
      <c r="O6" s="120">
        <f>IF(OR(O$4="",O$4=0),"",'Property Summary'!$F$14*(1+'Property Summary'!$I$19)^(O4-1))</f>
        <v>27615.553135280119</v>
      </c>
      <c r="P6" s="120">
        <f>IF(OR(P$4="",P$4=0),"",'Property Summary'!$F$14*(1+'Property Summary'!$I$19)^(P4-1))</f>
        <v>27891.708666632912</v>
      </c>
      <c r="Q6" s="120">
        <f>IF(OR(Q$4="",Q$4=0),"",'Property Summary'!$F$14*(1+'Property Summary'!$I$19)^(Q4-1))</f>
        <v>28170.625753299246</v>
      </c>
      <c r="R6" s="120">
        <f>IF(OR(R$4="",R$4=0),"",'Property Summary'!$F$14*(1+'Property Summary'!$I$19)^(R4-1))</f>
        <v>28452.332010832237</v>
      </c>
      <c r="S6" s="121">
        <f>IF(OR(S$4="",S$4=0),"",'Property Summary'!$F$14*(1+'Property Summary'!$I$19)^(S4-1))</f>
        <v>28736.855330940565</v>
      </c>
    </row>
    <row r="7" spans="2:19" x14ac:dyDescent="0.2">
      <c r="B7" s="122" t="s">
        <v>110</v>
      </c>
      <c r="C7" s="5"/>
      <c r="D7" s="5"/>
      <c r="E7" s="22">
        <f>IF(OR(E$4="",E$4=0),"",SUM(E5:E6))</f>
        <v>3374920</v>
      </c>
      <c r="F7" s="22">
        <f t="shared" ref="F7:O7" si="0">IF(OR(F$4="",F$4=0),"",SUM(F5:F6))</f>
        <v>3535505.7</v>
      </c>
      <c r="G7" s="22">
        <f t="shared" si="0"/>
        <v>3630465.8199999989</v>
      </c>
      <c r="H7" s="22">
        <f t="shared" si="0"/>
        <v>3684795.2947999993</v>
      </c>
      <c r="I7" s="22">
        <f t="shared" si="0"/>
        <v>3739938.4365969971</v>
      </c>
      <c r="J7" s="22">
        <f t="shared" si="0"/>
        <v>3795907.4376447024</v>
      </c>
      <c r="K7" s="22">
        <f t="shared" si="0"/>
        <v>3852714.6729531093</v>
      </c>
      <c r="L7" s="22">
        <f t="shared" si="0"/>
        <v>3910372.7030285806</v>
      </c>
      <c r="M7" s="22">
        <f t="shared" si="0"/>
        <v>3968894.2766549955</v>
      </c>
      <c r="N7" s="22">
        <f t="shared" si="0"/>
        <v>4028292.3337166156</v>
      </c>
      <c r="O7" s="22">
        <f t="shared" si="0"/>
        <v>4088580.00806328</v>
      </c>
      <c r="P7" s="22">
        <f t="shared" ref="P7" si="1">IF(OR(P$4="",P$4=0),"",SUM(P5:P6))</f>
        <v>4149770.630418553</v>
      </c>
      <c r="Q7" s="22">
        <f t="shared" ref="Q7" si="2">IF(OR(Q$4="",Q$4=0),"",SUM(Q5:Q6))</f>
        <v>4211877.7313314956</v>
      </c>
      <c r="R7" s="22">
        <f t="shared" ref="R7" si="3">IF(OR(R$4="",R$4=0),"",SUM(R5:R6))</f>
        <v>4274915.0441727033</v>
      </c>
      <c r="S7" s="29">
        <f t="shared" ref="S7" si="4">IF(OR(S$4="",S$4=0),"",SUM(S5:S6))</f>
        <v>4338896.5081752371</v>
      </c>
    </row>
    <row r="8" spans="2:19" x14ac:dyDescent="0.2">
      <c r="B8" s="4"/>
      <c r="C8" s="5"/>
      <c r="D8" s="5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9"/>
    </row>
    <row r="9" spans="2:19" x14ac:dyDescent="0.2">
      <c r="B9" s="118" t="s">
        <v>111</v>
      </c>
      <c r="C9" s="5"/>
      <c r="D9" s="119">
        <f>AVERAGE(E9:P9)/AVERAGE($E$7:$P$7)</f>
        <v>0</v>
      </c>
      <c r="E9" s="22">
        <f>IF(OR(E$4="",E$4=0),"",-SUMIF(Calculations!$C$49:$FZ$49,E$4,Calculations!$C$58:$FZ$58))</f>
        <v>0</v>
      </c>
      <c r="F9" s="22">
        <f>IF(OR(F$4="",F$4=0),"",-SUMIF(Calculations!$C$49:$FZ$49,F$4,Calculations!$C$58:$FZ$58))</f>
        <v>0</v>
      </c>
      <c r="G9" s="22">
        <f>IF(OR(G$4="",G$4=0),"",-SUMIF(Calculations!$C$49:$FZ$49,G$4,Calculations!$C$58:$FZ$58))</f>
        <v>0</v>
      </c>
      <c r="H9" s="22">
        <f>IF(OR(H$4="",H$4=0),"",-SUMIF(Calculations!$C$49:$FZ$49,H$4,Calculations!$C$58:$FZ$58))</f>
        <v>0</v>
      </c>
      <c r="I9" s="22">
        <f>IF(OR(I$4="",I$4=0),"",-SUMIF(Calculations!$C$49:$FZ$49,I$4,Calculations!$C$58:$FZ$58))</f>
        <v>0</v>
      </c>
      <c r="J9" s="22">
        <f>IF(OR(J$4="",J$4=0),"",-SUMIF(Calculations!$C$49:$FZ$49,J$4,Calculations!$C$58:$FZ$58))</f>
        <v>0</v>
      </c>
      <c r="K9" s="22">
        <f>IF(OR(K$4="",K$4=0),"",-SUMIF(Calculations!$C$49:$FZ$49,K$4,Calculations!$C$58:$FZ$58))</f>
        <v>0</v>
      </c>
      <c r="L9" s="22">
        <f>IF(OR(L$4="",L$4=0),"",-SUMIF(Calculations!$C$49:$FZ$49,L$4,Calculations!$C$58:$FZ$58))</f>
        <v>0</v>
      </c>
      <c r="M9" s="22">
        <f>IF(OR(M$4="",M$4=0),"",-SUMIF(Calculations!$C$49:$FZ$49,M$4,Calculations!$C$58:$FZ$58))</f>
        <v>0</v>
      </c>
      <c r="N9" s="22">
        <f>IF(OR(N$4="",N$4=0),"",-SUMIF(Calculations!$C$49:$FZ$49,N$4,Calculations!$C$58:$FZ$58))</f>
        <v>0</v>
      </c>
      <c r="O9" s="22">
        <f>IF(OR(O$4="",O$4=0),"",-SUMIF(Calculations!$C$49:$FZ$49,O$4,Calculations!$C$58:$FZ$58))</f>
        <v>0</v>
      </c>
      <c r="P9" s="22">
        <f>IF(OR(P$4="",P$4=0),"",-SUMIF(Calculations!$C$49:$FZ$49,P$4,Calculations!$C$58:$FZ$58))</f>
        <v>0</v>
      </c>
      <c r="Q9" s="22">
        <f>IF(OR(Q$4="",Q$4=0),"",-SUMIF(Calculations!$C$49:$FZ$49,Q$4,Calculations!$C$58:$FZ$58))</f>
        <v>0</v>
      </c>
      <c r="R9" s="22">
        <f>IF(OR(R$4="",R$4=0),"",-SUMIF(Calculations!$C$49:$FZ$49,R$4,Calculations!$C$58:$FZ$58))</f>
        <v>0</v>
      </c>
      <c r="S9" s="29">
        <f>IF(OR(S$4="",S$4=0),"",-SUMIF(Calculations!$C$49:$FZ$49,S$4,Calculations!$C$58:$FZ$58))</f>
        <v>0</v>
      </c>
    </row>
    <row r="10" spans="2:19" x14ac:dyDescent="0.2">
      <c r="B10" s="118" t="s">
        <v>112</v>
      </c>
      <c r="C10" s="5"/>
      <c r="D10" s="119">
        <f>-AVERAGE(E10:P10)/AVERAGE($E$7:$P$7)</f>
        <v>0.1484555652730874</v>
      </c>
      <c r="E10" s="22">
        <f>IF(OR(E$4="",E$4=0),"",-SUMIF(Calculations!$C$61:$FZ$61,E$4,Calculations!$C$70:$FZ$70))</f>
        <v>-435489.59999999992</v>
      </c>
      <c r="F10" s="22">
        <f>IF(OR(F$4="",F$4=0),"",-SUMIF(Calculations!$C$61:$FZ$61,F$4,Calculations!$C$70:$FZ$70))</f>
        <v>-528846.39733333339</v>
      </c>
      <c r="G10" s="22">
        <f>IF(OR(G$4="",G$4=0),"",-SUMIF(Calculations!$C$61:$FZ$61,G$4,Calculations!$C$70:$FZ$70))</f>
        <v>-544629.13306666655</v>
      </c>
      <c r="H10" s="22">
        <f>IF(OR(H$4="",H$4=0),"",-SUMIF(Calculations!$C$61:$FZ$61,H$4,Calculations!$C$70:$FZ$70))</f>
        <v>-552798.57006266655</v>
      </c>
      <c r="I10" s="22">
        <f>IF(OR(I$4="",I$4=0),"",-SUMIF(Calculations!$C$61:$FZ$61,I$4,Calculations!$C$70:$FZ$70))</f>
        <v>-561090.54861360625</v>
      </c>
      <c r="J10" s="22">
        <f>IF(OR(J$4="",J$4=0),"",-SUMIF(Calculations!$C$61:$FZ$61,J$4,Calculations!$C$70:$FZ$70))</f>
        <v>-569506.90684281033</v>
      </c>
      <c r="K10" s="22">
        <f>IF(OR(K$4="",K$4=0),"",-SUMIF(Calculations!$C$61:$FZ$61,K$4,Calculations!$C$70:$FZ$70))</f>
        <v>-578049.51044545264</v>
      </c>
      <c r="L10" s="22">
        <f>IF(OR(L$4="",L$4=0),"",-SUMIF(Calculations!$C$61:$FZ$61,L$4,Calculations!$C$70:$FZ$70))</f>
        <v>-586720.2531021341</v>
      </c>
      <c r="M10" s="22">
        <f>IF(OR(M$4="",M$4=0),"",-SUMIF(Calculations!$C$61:$FZ$61,M$4,Calculations!$C$70:$FZ$70))</f>
        <v>-595521.0568986662</v>
      </c>
      <c r="N10" s="22">
        <f>IF(OR(N$4="",N$4=0),"",-SUMIF(Calculations!$C$61:$FZ$61,N$4,Calculations!$C$70:$FZ$70))</f>
        <v>-604453.87275214598</v>
      </c>
      <c r="O10" s="22">
        <f>IF(OR(O$4="",O$4=0),"",-SUMIF(Calculations!$C$61:$FZ$61,O$4,Calculations!$C$70:$FZ$70))</f>
        <v>-613520.68084342824</v>
      </c>
      <c r="P10" s="22">
        <f>IF(OR(P$4="",P$4=0),"",-SUMIF(Calculations!$C$61:$FZ$61,P$4,Calculations!$C$70:$FZ$70))</f>
        <v>-622723.49105607939</v>
      </c>
      <c r="Q10" s="22">
        <f>IF(OR(Q$4="",Q$4=0),"",-SUMIF(Calculations!$C$61:$FZ$61,Q$4,Calculations!$C$70:$FZ$70))</f>
        <v>-632064.34342192067</v>
      </c>
      <c r="R10" s="22">
        <f>IF(OR(R$4="",R$4=0),"",-SUMIF(Calculations!$C$61:$FZ$61,R$4,Calculations!$C$70:$FZ$70))</f>
        <v>-641545.30857324926</v>
      </c>
      <c r="S10" s="29">
        <f>IF(OR(S$4="",S$4=0),"",-SUMIF(Calculations!$C$61:$FZ$61,S$4,Calculations!$C$70:$FZ$70))</f>
        <v>-651168.48820184788</v>
      </c>
    </row>
    <row r="11" spans="2:19" x14ac:dyDescent="0.2">
      <c r="B11" s="122" t="s">
        <v>113</v>
      </c>
      <c r="C11" s="5"/>
      <c r="D11" s="119">
        <f>AVERAGE(E11:P11)/AVERAGE($E$7:$P$7)</f>
        <v>0.85154443472691266</v>
      </c>
      <c r="E11" s="22">
        <f>IF(OR(E$4="",E$4=0),"",SUM(E7:E10))</f>
        <v>2939430.4</v>
      </c>
      <c r="F11" s="22">
        <f t="shared" ref="F11:O11" si="5">IF(OR(F$4="",F$4=0),"",SUM(F7:F10))</f>
        <v>3006659.3026666669</v>
      </c>
      <c r="G11" s="22">
        <f t="shared" si="5"/>
        <v>3085836.6869333321</v>
      </c>
      <c r="H11" s="22">
        <f t="shared" si="5"/>
        <v>3131996.7247373327</v>
      </c>
      <c r="I11" s="22">
        <f t="shared" si="5"/>
        <v>3178847.8879833911</v>
      </c>
      <c r="J11" s="22">
        <f t="shared" si="5"/>
        <v>3226400.5308018923</v>
      </c>
      <c r="K11" s="22">
        <f t="shared" si="5"/>
        <v>3274665.1625076565</v>
      </c>
      <c r="L11" s="22">
        <f t="shared" si="5"/>
        <v>3323652.4499264467</v>
      </c>
      <c r="M11" s="22">
        <f t="shared" si="5"/>
        <v>3373373.2197563294</v>
      </c>
      <c r="N11" s="22">
        <f t="shared" si="5"/>
        <v>3423838.4609644697</v>
      </c>
      <c r="O11" s="22">
        <f t="shared" si="5"/>
        <v>3475059.3272198518</v>
      </c>
      <c r="P11" s="22">
        <f t="shared" ref="P11" si="6">IF(OR(P$4="",P$4=0),"",SUM(P7:P10))</f>
        <v>3527047.1393624735</v>
      </c>
      <c r="Q11" s="22">
        <f t="shared" ref="Q11" si="7">IF(OR(Q$4="",Q$4=0),"",SUM(Q7:Q10))</f>
        <v>3579813.3879095749</v>
      </c>
      <c r="R11" s="22">
        <f t="shared" ref="R11" si="8">IF(OR(R$4="",R$4=0),"",SUM(R7:R10))</f>
        <v>3633369.735599454</v>
      </c>
      <c r="S11" s="29">
        <f t="shared" ref="S11" si="9">IF(OR(S$4="",S$4=0),"",SUM(S7:S10))</f>
        <v>3687728.0199733893</v>
      </c>
    </row>
    <row r="12" spans="2:19" x14ac:dyDescent="0.2">
      <c r="B12" s="4"/>
      <c r="C12" s="5"/>
      <c r="D12" s="5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9"/>
    </row>
    <row r="13" spans="2:19" x14ac:dyDescent="0.2">
      <c r="B13" s="118" t="s">
        <v>114</v>
      </c>
      <c r="C13" s="5"/>
      <c r="D13" s="5"/>
      <c r="E13" s="22">
        <f>IF(OR(E$4="",E$4=0),"",-ABS(Expenses!E6))</f>
        <v>-24000</v>
      </c>
      <c r="F13" s="22">
        <f>IF(OR(F$4="",F$4=0),"",-ABS(Expenses!F6))</f>
        <v>-24720</v>
      </c>
      <c r="G13" s="22">
        <f>IF(OR(G$4="",G$4=0),"",-ABS(Expenses!G6))</f>
        <v>-25461.600000000002</v>
      </c>
      <c r="H13" s="22">
        <f>IF(OR(H$4="",H$4=0),"",-ABS(Expenses!H6))</f>
        <v>-26225.448000000004</v>
      </c>
      <c r="I13" s="22">
        <f>IF(OR(I$4="",I$4=0),"",-ABS(Expenses!I6))</f>
        <v>-27012.211440000006</v>
      </c>
      <c r="J13" s="22">
        <f>IF(OR(J$4="",J$4=0),"",-ABS(Expenses!J6))</f>
        <v>-27822.577783200006</v>
      </c>
      <c r="K13" s="22">
        <f>IF(OR(K$4="",K$4=0),"",-ABS(Expenses!K6))</f>
        <v>-28657.255116696007</v>
      </c>
      <c r="L13" s="22">
        <f>IF(OR(L$4="",L$4=0),"",-ABS(Expenses!L6))</f>
        <v>-29516.972770196888</v>
      </c>
      <c r="M13" s="22">
        <f>IF(OR(M$4="",M$4=0),"",-ABS(Expenses!M6))</f>
        <v>-30402.481953302795</v>
      </c>
      <c r="N13" s="22">
        <f>IF(OR(N$4="",N$4=0),"",-ABS(Expenses!N6))</f>
        <v>-31314.556411901878</v>
      </c>
      <c r="O13" s="22">
        <f>IF(OR(O$4="",O$4=0),"",-ABS(Expenses!O6))</f>
        <v>-32253.993104258934</v>
      </c>
      <c r="P13" s="22">
        <f>IF(OR(P$4="",P$4=0),"",-ABS(Expenses!P6))</f>
        <v>-33221.612897386702</v>
      </c>
      <c r="Q13" s="22">
        <f>IF(OR(Q$4="",Q$4=0),"",-ABS(Expenses!Q6))</f>
        <v>-34218.261284308304</v>
      </c>
      <c r="R13" s="22">
        <f>IF(OR(R$4="",R$4=0),"",-ABS(Expenses!R6))</f>
        <v>-35244.809122837556</v>
      </c>
      <c r="S13" s="29">
        <f>IF(OR(S$4="",S$4=0),"",-ABS(Expenses!S6))</f>
        <v>-36302.153396522684</v>
      </c>
    </row>
    <row r="14" spans="2:19" x14ac:dyDescent="0.2">
      <c r="B14" s="118" t="s">
        <v>115</v>
      </c>
      <c r="C14" s="5"/>
      <c r="D14" s="5"/>
      <c r="E14" s="22">
        <f>IF(OR(E$4="",E$4=0),"",-ABS(Expenses!E7))</f>
        <v>-33000</v>
      </c>
      <c r="F14" s="22">
        <f>IF(OR(F$4="",F$4=0),"",-ABS(Expenses!F7))</f>
        <v>-33990</v>
      </c>
      <c r="G14" s="22">
        <f>IF(OR(G$4="",G$4=0),"",-ABS(Expenses!G7))</f>
        <v>-35009.700000000004</v>
      </c>
      <c r="H14" s="22">
        <f>IF(OR(H$4="",H$4=0),"",-ABS(Expenses!H7))</f>
        <v>-36059.991000000002</v>
      </c>
      <c r="I14" s="22">
        <f>IF(OR(I$4="",I$4=0),"",-ABS(Expenses!I7))</f>
        <v>-37141.790730000001</v>
      </c>
      <c r="J14" s="22">
        <f>IF(OR(J$4="",J$4=0),"",-ABS(Expenses!J7))</f>
        <v>-38256.044451900001</v>
      </c>
      <c r="K14" s="22">
        <f>IF(OR(K$4="",K$4=0),"",-ABS(Expenses!K7))</f>
        <v>-39403.725785457005</v>
      </c>
      <c r="L14" s="22">
        <f>IF(OR(L$4="",L$4=0),"",-ABS(Expenses!L7))</f>
        <v>-40585.837559020714</v>
      </c>
      <c r="M14" s="22">
        <f>IF(OR(M$4="",M$4=0),"",-ABS(Expenses!M7))</f>
        <v>-41803.412685791336</v>
      </c>
      <c r="N14" s="22">
        <f>IF(OR(N$4="",N$4=0),"",-ABS(Expenses!N7))</f>
        <v>-43057.515066365078</v>
      </c>
      <c r="O14" s="22">
        <f>IF(OR(O$4="",O$4=0),"",-ABS(Expenses!O7))</f>
        <v>-44349.240518356033</v>
      </c>
      <c r="P14" s="22">
        <f>IF(OR(P$4="",P$4=0),"",-ABS(Expenses!P7))</f>
        <v>-45679.717733906713</v>
      </c>
      <c r="Q14" s="22">
        <f>IF(OR(Q$4="",Q$4=0),"",-ABS(Expenses!Q7))</f>
        <v>-47050.109265923915</v>
      </c>
      <c r="R14" s="22">
        <f>IF(OR(R$4="",R$4=0),"",-ABS(Expenses!R7))</f>
        <v>-48461.612543901632</v>
      </c>
      <c r="S14" s="29">
        <f>IF(OR(S$4="",S$4=0),"",-ABS(Expenses!S7))</f>
        <v>-49915.460920218684</v>
      </c>
    </row>
    <row r="15" spans="2:19" x14ac:dyDescent="0.2">
      <c r="B15" s="118" t="s">
        <v>116</v>
      </c>
      <c r="C15" s="5"/>
      <c r="D15" s="5"/>
      <c r="E15" s="22">
        <f>IF(OR(E$4="",E$4=0),"",-ABS(Expenses!E8))</f>
        <v>-99000</v>
      </c>
      <c r="F15" s="22">
        <f>IF(OR(F$4="",F$4=0),"",-ABS(Expenses!F8))</f>
        <v>-101970</v>
      </c>
      <c r="G15" s="22">
        <f>IF(OR(G$4="",G$4=0),"",-ABS(Expenses!G8))</f>
        <v>-105029.1</v>
      </c>
      <c r="H15" s="22">
        <f>IF(OR(H$4="",H$4=0),"",-ABS(Expenses!H8))</f>
        <v>-108179.97300000001</v>
      </c>
      <c r="I15" s="22">
        <f>IF(OR(I$4="",I$4=0),"",-ABS(Expenses!I8))</f>
        <v>-111425.37219000001</v>
      </c>
      <c r="J15" s="22">
        <f>IF(OR(J$4="",J$4=0),"",-ABS(Expenses!J8))</f>
        <v>-114768.13335570002</v>
      </c>
      <c r="K15" s="22">
        <f>IF(OR(K$4="",K$4=0),"",-ABS(Expenses!K8))</f>
        <v>-118211.17735637102</v>
      </c>
      <c r="L15" s="22">
        <f>IF(OR(L$4="",L$4=0),"",-ABS(Expenses!L8))</f>
        <v>-121757.51267706214</v>
      </c>
      <c r="M15" s="22">
        <f>IF(OR(M$4="",M$4=0),"",-ABS(Expenses!M8))</f>
        <v>-125410.23805737401</v>
      </c>
      <c r="N15" s="22">
        <f>IF(OR(N$4="",N$4=0),"",-ABS(Expenses!N8))</f>
        <v>-129172.54519909523</v>
      </c>
      <c r="O15" s="22">
        <f>IF(OR(O$4="",O$4=0),"",-ABS(Expenses!O8))</f>
        <v>-133047.7215550681</v>
      </c>
      <c r="P15" s="22">
        <f>IF(OR(P$4="",P$4=0),"",-ABS(Expenses!P8))</f>
        <v>-137039.15320172015</v>
      </c>
      <c r="Q15" s="22">
        <f>IF(OR(Q$4="",Q$4=0),"",-ABS(Expenses!Q8))</f>
        <v>-141150.32779777175</v>
      </c>
      <c r="R15" s="22">
        <f>IF(OR(R$4="",R$4=0),"",-ABS(Expenses!R8))</f>
        <v>-145384.8376317049</v>
      </c>
      <c r="S15" s="29">
        <f>IF(OR(S$4="",S$4=0),"",-ABS(Expenses!S8))</f>
        <v>-149746.38276065604</v>
      </c>
    </row>
    <row r="16" spans="2:19" x14ac:dyDescent="0.2">
      <c r="B16" s="118" t="s">
        <v>117</v>
      </c>
      <c r="C16" s="5"/>
      <c r="D16" s="5"/>
      <c r="E16" s="22">
        <f>IF(OR(E$4="",E$4=0),"",-ABS(Expenses!E9))</f>
        <v>-152000</v>
      </c>
      <c r="F16" s="22">
        <f>IF(OR(F$4="",F$4=0),"",-ABS(Expenses!F9))</f>
        <v>-156560</v>
      </c>
      <c r="G16" s="22">
        <f>IF(OR(G$4="",G$4=0),"",-ABS(Expenses!G9))</f>
        <v>-161256.80000000002</v>
      </c>
      <c r="H16" s="22">
        <f>IF(OR(H$4="",H$4=0),"",-ABS(Expenses!H9))</f>
        <v>-166094.50400000002</v>
      </c>
      <c r="I16" s="22">
        <f>IF(OR(I$4="",I$4=0),"",-ABS(Expenses!I9))</f>
        <v>-171077.33912000002</v>
      </c>
      <c r="J16" s="22">
        <f>IF(OR(J$4="",J$4=0),"",-ABS(Expenses!J9))</f>
        <v>-176209.65929360004</v>
      </c>
      <c r="K16" s="22">
        <f>IF(OR(K$4="",K$4=0),"",-ABS(Expenses!K9))</f>
        <v>-181495.94907240805</v>
      </c>
      <c r="L16" s="22">
        <f>IF(OR(L$4="",L$4=0),"",-ABS(Expenses!L9))</f>
        <v>-186940.8275445803</v>
      </c>
      <c r="M16" s="22">
        <f>IF(OR(M$4="",M$4=0),"",-ABS(Expenses!M9))</f>
        <v>-192549.05237091772</v>
      </c>
      <c r="N16" s="22">
        <f>IF(OR(N$4="",N$4=0),"",-ABS(Expenses!N9))</f>
        <v>-198325.52394204526</v>
      </c>
      <c r="O16" s="22">
        <f>IF(OR(O$4="",O$4=0),"",-ABS(Expenses!O9))</f>
        <v>-204275.28966030662</v>
      </c>
      <c r="P16" s="22">
        <f>IF(OR(P$4="",P$4=0),"",-ABS(Expenses!P9))</f>
        <v>-210403.54835011583</v>
      </c>
      <c r="Q16" s="22">
        <f>IF(OR(Q$4="",Q$4=0),"",-ABS(Expenses!Q9))</f>
        <v>-216715.65480061932</v>
      </c>
      <c r="R16" s="22">
        <f>IF(OR(R$4="",R$4=0),"",-ABS(Expenses!R9))</f>
        <v>-223217.12444463791</v>
      </c>
      <c r="S16" s="29">
        <f>IF(OR(S$4="",S$4=0),"",-ABS(Expenses!S9))</f>
        <v>-229913.63817797706</v>
      </c>
    </row>
    <row r="17" spans="2:19" x14ac:dyDescent="0.2">
      <c r="B17" s="118" t="s">
        <v>118</v>
      </c>
      <c r="C17" s="5"/>
      <c r="D17" s="5"/>
      <c r="E17" s="22">
        <f>IF(OR(E$4="",E$4=0),"",-ABS(Expenses!E10))</f>
        <v>-84400</v>
      </c>
      <c r="F17" s="22">
        <f>IF(OR(F$4="",F$4=0),"",-ABS(Expenses!F10))</f>
        <v>-86932</v>
      </c>
      <c r="G17" s="22">
        <f>IF(OR(G$4="",G$4=0),"",-ABS(Expenses!G10))</f>
        <v>-89539.96</v>
      </c>
      <c r="H17" s="22">
        <f>IF(OR(H$4="",H$4=0),"",-ABS(Expenses!H10))</f>
        <v>-92226.158800000005</v>
      </c>
      <c r="I17" s="22">
        <f>IF(OR(I$4="",I$4=0),"",-ABS(Expenses!I10))</f>
        <v>-94992.943564000001</v>
      </c>
      <c r="J17" s="22">
        <f>IF(OR(J$4="",J$4=0),"",-ABS(Expenses!J10))</f>
        <v>-97842.731870920004</v>
      </c>
      <c r="K17" s="22">
        <f>IF(OR(K$4="",K$4=0),"",-ABS(Expenses!K10))</f>
        <v>-100778.0138270476</v>
      </c>
      <c r="L17" s="22">
        <f>IF(OR(L$4="",L$4=0),"",-ABS(Expenses!L10))</f>
        <v>-103801.35424185904</v>
      </c>
      <c r="M17" s="22">
        <f>IF(OR(M$4="",M$4=0),"",-ABS(Expenses!M10))</f>
        <v>-106915.39486911481</v>
      </c>
      <c r="N17" s="22">
        <f>IF(OR(N$4="",N$4=0),"",-ABS(Expenses!N10))</f>
        <v>-110122.85671518826</v>
      </c>
      <c r="O17" s="22">
        <f>IF(OR(O$4="",O$4=0),"",-ABS(Expenses!O10))</f>
        <v>-113426.5424166439</v>
      </c>
      <c r="P17" s="22">
        <f>IF(OR(P$4="",P$4=0),"",-ABS(Expenses!P10))</f>
        <v>-116829.33868914323</v>
      </c>
      <c r="Q17" s="22">
        <f>IF(OR(Q$4="",Q$4=0),"",-ABS(Expenses!Q10))</f>
        <v>-120334.21884981754</v>
      </c>
      <c r="R17" s="22">
        <f>IF(OR(R$4="",R$4=0),"",-ABS(Expenses!R10))</f>
        <v>-123944.24541531206</v>
      </c>
      <c r="S17" s="29">
        <f>IF(OR(S$4="",S$4=0),"",-ABS(Expenses!S10))</f>
        <v>-127662.57277777143</v>
      </c>
    </row>
    <row r="18" spans="2:19" x14ac:dyDescent="0.2">
      <c r="B18" s="118" t="s">
        <v>119</v>
      </c>
      <c r="C18" s="5"/>
      <c r="D18" s="5"/>
      <c r="E18" s="22">
        <f>IF(OR(E$4="",E$4=0),"",-ABS(Expenses!E11))</f>
        <v>-88182.911999999997</v>
      </c>
      <c r="F18" s="22">
        <f>IF(OR(F$4="",F$4=0),"",-ABS(Expenses!F11))</f>
        <v>-90828.399359999996</v>
      </c>
      <c r="G18" s="22">
        <f>IF(OR(G$4="",G$4=0),"",-ABS(Expenses!G11))</f>
        <v>-93553.251340799994</v>
      </c>
      <c r="H18" s="22">
        <f>IF(OR(H$4="",H$4=0),"",-ABS(Expenses!H11))</f>
        <v>-96359.848881023994</v>
      </c>
      <c r="I18" s="22">
        <f>IF(OR(I$4="",I$4=0),"",-ABS(Expenses!I11))</f>
        <v>-99250.644347454712</v>
      </c>
      <c r="J18" s="22">
        <f>IF(OR(J$4="",J$4=0),"",-ABS(Expenses!J11))</f>
        <v>-102228.16367787836</v>
      </c>
      <c r="K18" s="22">
        <f>IF(OR(K$4="",K$4=0),"",-ABS(Expenses!K11))</f>
        <v>-105295.00858821471</v>
      </c>
      <c r="L18" s="22">
        <f>IF(OR(L$4="",L$4=0),"",-ABS(Expenses!L11))</f>
        <v>-108453.85884586115</v>
      </c>
      <c r="M18" s="22">
        <f>IF(OR(M$4="",M$4=0),"",-ABS(Expenses!M11))</f>
        <v>-111707.47461123699</v>
      </c>
      <c r="N18" s="22">
        <f>IF(OR(N$4="",N$4=0),"",-ABS(Expenses!N11))</f>
        <v>-115058.69884957411</v>
      </c>
      <c r="O18" s="22">
        <f>IF(OR(O$4="",O$4=0),"",-ABS(Expenses!O11))</f>
        <v>-118510.45981506133</v>
      </c>
      <c r="P18" s="22">
        <f>IF(OR(P$4="",P$4=0),"",-ABS(Expenses!P11))</f>
        <v>-122065.77360951317</v>
      </c>
      <c r="Q18" s="22">
        <f>IF(OR(Q$4="",Q$4=0),"",-ABS(Expenses!Q11))</f>
        <v>-125727.74681779857</v>
      </c>
      <c r="R18" s="22">
        <f>IF(OR(R$4="",R$4=0),"",-ABS(Expenses!R11))</f>
        <v>-129499.57922233253</v>
      </c>
      <c r="S18" s="29">
        <f>IF(OR(S$4="",S$4=0),"",-ABS(Expenses!S11))</f>
        <v>-133384.56659900252</v>
      </c>
    </row>
    <row r="19" spans="2:19" x14ac:dyDescent="0.2">
      <c r="B19" s="118" t="s">
        <v>120</v>
      </c>
      <c r="C19" s="5"/>
      <c r="D19" s="5"/>
      <c r="E19" s="22">
        <f>IF(OR(E$4="",E$4=0),"",-ABS(Expenses!E12))</f>
        <v>-39000</v>
      </c>
      <c r="F19" s="22">
        <f>IF(OR(F$4="",F$4=0),"",-ABS(Expenses!F12))</f>
        <v>-40170</v>
      </c>
      <c r="G19" s="22">
        <f>IF(OR(G$4="",G$4=0),"",-ABS(Expenses!G12))</f>
        <v>-41375.1</v>
      </c>
      <c r="H19" s="22">
        <f>IF(OR(H$4="",H$4=0),"",-ABS(Expenses!H12))</f>
        <v>-42616.353000000003</v>
      </c>
      <c r="I19" s="22">
        <f>IF(OR(I$4="",I$4=0),"",-ABS(Expenses!I12))</f>
        <v>-43894.843590000004</v>
      </c>
      <c r="J19" s="22">
        <f>IF(OR(J$4="",J$4=0),"",-ABS(Expenses!J12))</f>
        <v>-45211.688897700005</v>
      </c>
      <c r="K19" s="22">
        <f>IF(OR(K$4="",K$4=0),"",-ABS(Expenses!K12))</f>
        <v>-46568.039564631006</v>
      </c>
      <c r="L19" s="22">
        <f>IF(OR(L$4="",L$4=0),"",-ABS(Expenses!L12))</f>
        <v>-47965.080751569934</v>
      </c>
      <c r="M19" s="22">
        <f>IF(OR(M$4="",M$4=0),"",-ABS(Expenses!M12))</f>
        <v>-49404.03317411703</v>
      </c>
      <c r="N19" s="22">
        <f>IF(OR(N$4="",N$4=0),"",-ABS(Expenses!N12))</f>
        <v>-50886.154169340545</v>
      </c>
      <c r="O19" s="22">
        <f>IF(OR(O$4="",O$4=0),"",-ABS(Expenses!O12))</f>
        <v>-52412.738794420766</v>
      </c>
      <c r="P19" s="22">
        <f>IF(OR(P$4="",P$4=0),"",-ABS(Expenses!P12))</f>
        <v>-53985.120958253392</v>
      </c>
      <c r="Q19" s="22">
        <f>IF(OR(Q$4="",Q$4=0),"",-ABS(Expenses!Q12))</f>
        <v>-55604.674587000998</v>
      </c>
      <c r="R19" s="22">
        <f>IF(OR(R$4="",R$4=0),"",-ABS(Expenses!R12))</f>
        <v>-57272.814824611029</v>
      </c>
      <c r="S19" s="29">
        <f>IF(OR(S$4="",S$4=0),"",-ABS(Expenses!S12))</f>
        <v>-58990.999269349362</v>
      </c>
    </row>
    <row r="20" spans="2:19" x14ac:dyDescent="0.2">
      <c r="B20" s="118" t="s">
        <v>121</v>
      </c>
      <c r="C20" s="5"/>
      <c r="D20" s="5"/>
      <c r="E20" s="120">
        <f>IF(OR(E$4="",E$4=0),"",-ABS(Expenses!E13))</f>
        <v>-120000</v>
      </c>
      <c r="F20" s="120">
        <f>IF(OR(F$4="",F$4=0),"",-ABS(Expenses!F13))</f>
        <v>-123600</v>
      </c>
      <c r="G20" s="120">
        <f>IF(OR(G$4="",G$4=0),"",-ABS(Expenses!G13))</f>
        <v>-127308</v>
      </c>
      <c r="H20" s="120">
        <f>IF(OR(H$4="",H$4=0),"",-ABS(Expenses!H13))</f>
        <v>-131127.24</v>
      </c>
      <c r="I20" s="120">
        <f>IF(OR(I$4="",I$4=0),"",-ABS(Expenses!I13))</f>
        <v>-135061.05719999998</v>
      </c>
      <c r="J20" s="120">
        <f>IF(OR(J$4="",J$4=0),"",-ABS(Expenses!J13))</f>
        <v>-139112.888916</v>
      </c>
      <c r="K20" s="120">
        <f>IF(OR(K$4="",K$4=0),"",-ABS(Expenses!K13))</f>
        <v>-143286.27558347999</v>
      </c>
      <c r="L20" s="120">
        <f>IF(OR(L$4="",L$4=0),"",-ABS(Expenses!L13))</f>
        <v>-147584.8638509844</v>
      </c>
      <c r="M20" s="120">
        <f>IF(OR(M$4="",M$4=0),"",-ABS(Expenses!M13))</f>
        <v>-152012.40976651394</v>
      </c>
      <c r="N20" s="120">
        <f>IF(OR(N$4="",N$4=0),"",-ABS(Expenses!N13))</f>
        <v>-156572.78205950937</v>
      </c>
      <c r="O20" s="120">
        <f>IF(OR(O$4="",O$4=0),"",-ABS(Expenses!O13))</f>
        <v>-161269.96552129465</v>
      </c>
      <c r="P20" s="120">
        <f>IF(OR(P$4="",P$4=0),"",-ABS(Expenses!P13))</f>
        <v>-166108.06448693349</v>
      </c>
      <c r="Q20" s="120">
        <f>IF(OR(Q$4="",Q$4=0),"",-ABS(Expenses!Q13))</f>
        <v>-171091.30642154149</v>
      </c>
      <c r="R20" s="120">
        <f>IF(OR(R$4="",R$4=0),"",-ABS(Expenses!R13))</f>
        <v>-176224.04561418775</v>
      </c>
      <c r="S20" s="121">
        <f>IF(OR(S$4="",S$4=0),"",-ABS(Expenses!S13))</f>
        <v>-181510.76698261339</v>
      </c>
    </row>
    <row r="21" spans="2:19" x14ac:dyDescent="0.2">
      <c r="B21" s="4" t="s">
        <v>45</v>
      </c>
      <c r="C21" s="5"/>
      <c r="D21" s="119">
        <f>-AVERAGE(E21:P21)/AVERAGE($E$7:$P$7)</f>
        <v>0.19835988613192079</v>
      </c>
      <c r="E21" s="22">
        <f>IF(OR(E$4="",E$4=0),"",-ABS(Expenses!E14))</f>
        <v>-639582.91200000001</v>
      </c>
      <c r="F21" s="22">
        <f>IF(OR(F$4="",F$4=0),"",-ABS(Expenses!F14))</f>
        <v>-658770.39936000004</v>
      </c>
      <c r="G21" s="22">
        <f>IF(OR(G$4="",G$4=0),"",-ABS(Expenses!G14))</f>
        <v>-678533.51134080009</v>
      </c>
      <c r="H21" s="22">
        <f>IF(OR(H$4="",H$4=0),"",-ABS(Expenses!H14))</f>
        <v>-698889.51668102411</v>
      </c>
      <c r="I21" s="22">
        <f>IF(OR(I$4="",I$4=0),"",-ABS(Expenses!I14))</f>
        <v>-719856.20218145486</v>
      </c>
      <c r="J21" s="22">
        <f>IF(OR(J$4="",J$4=0),"",-ABS(Expenses!J14))</f>
        <v>-741451.88824689854</v>
      </c>
      <c r="K21" s="22">
        <f>IF(OR(K$4="",K$4=0),"",-ABS(Expenses!K14))</f>
        <v>-763695.44489430555</v>
      </c>
      <c r="L21" s="22">
        <f>IF(OR(L$4="",L$4=0),"",-ABS(Expenses!L14))</f>
        <v>-786606.30824113474</v>
      </c>
      <c r="M21" s="22">
        <f>IF(OR(M$4="",M$4=0),"",-ABS(Expenses!M14))</f>
        <v>-810204.49748836877</v>
      </c>
      <c r="N21" s="22">
        <f>IF(OR(N$4="",N$4=0),"",-ABS(Expenses!N14))</f>
        <v>-834510.63241301989</v>
      </c>
      <c r="O21" s="22">
        <f>IF(OR(O$4="",O$4=0),"",-ABS(Expenses!O14))</f>
        <v>-859545.9513854105</v>
      </c>
      <c r="P21" s="22">
        <f>IF(OR(P$4="",P$4=0),"",-ABS(Expenses!P14))</f>
        <v>-885332.32992697286</v>
      </c>
      <c r="Q21" s="22">
        <f>IF(OR(Q$4="",Q$4=0),"",-ABS(Expenses!Q14))</f>
        <v>-911892.29982478207</v>
      </c>
      <c r="R21" s="22">
        <f>IF(OR(R$4="",R$4=0),"",-ABS(Expenses!R14))</f>
        <v>-939249.06881952554</v>
      </c>
      <c r="S21" s="29">
        <f>IF(OR(S$4="",S$4=0),"",-ABS(Expenses!S14))</f>
        <v>-967426.54088411131</v>
      </c>
    </row>
    <row r="22" spans="2:19" x14ac:dyDescent="0.2">
      <c r="B22" s="4"/>
      <c r="C22" s="5"/>
      <c r="D22" s="123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9"/>
    </row>
    <row r="23" spans="2:19" x14ac:dyDescent="0.2">
      <c r="B23" s="122" t="s">
        <v>122</v>
      </c>
      <c r="C23" s="5"/>
      <c r="D23" s="119">
        <f>AVERAGE(E23:P23)/AVERAGE($E$7:$P$7)</f>
        <v>0.65318454859499175</v>
      </c>
      <c r="E23" s="124">
        <f>IF(OR(E$4="",E$4=0),"",SUM(E11,E21))</f>
        <v>2299847.4879999999</v>
      </c>
      <c r="F23" s="124">
        <f t="shared" ref="F23:S23" si="10">IF(OR(F$4="",F$4=0),"",SUM(F11,F21))</f>
        <v>2347888.9033066668</v>
      </c>
      <c r="G23" s="124">
        <f t="shared" si="10"/>
        <v>2407303.1755925319</v>
      </c>
      <c r="H23" s="124">
        <f t="shared" si="10"/>
        <v>2433107.2080563083</v>
      </c>
      <c r="I23" s="124">
        <f t="shared" si="10"/>
        <v>2458991.6858019363</v>
      </c>
      <c r="J23" s="124">
        <f t="shared" si="10"/>
        <v>2484948.6425549937</v>
      </c>
      <c r="K23" s="124">
        <f t="shared" si="10"/>
        <v>2510969.7176133511</v>
      </c>
      <c r="L23" s="124">
        <f t="shared" si="10"/>
        <v>2537046.1416853117</v>
      </c>
      <c r="M23" s="124">
        <f t="shared" si="10"/>
        <v>2563168.7222679607</v>
      </c>
      <c r="N23" s="124">
        <f t="shared" si="10"/>
        <v>2589327.8285514498</v>
      </c>
      <c r="O23" s="124">
        <f t="shared" si="10"/>
        <v>2615513.3758344413</v>
      </c>
      <c r="P23" s="124">
        <f t="shared" si="10"/>
        <v>2641714.8094355008</v>
      </c>
      <c r="Q23" s="124">
        <f t="shared" si="10"/>
        <v>2667921.0880847927</v>
      </c>
      <c r="R23" s="124">
        <f t="shared" si="10"/>
        <v>2694120.6667799284</v>
      </c>
      <c r="S23" s="125">
        <f t="shared" si="10"/>
        <v>2720301.4790892778</v>
      </c>
    </row>
    <row r="24" spans="2:19" x14ac:dyDescent="0.2">
      <c r="B24" s="4"/>
      <c r="C24" s="5"/>
      <c r="D24" s="123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9"/>
    </row>
    <row r="25" spans="2:19" x14ac:dyDescent="0.2">
      <c r="B25" s="118" t="s">
        <v>123</v>
      </c>
      <c r="C25" s="5"/>
      <c r="D25" s="123"/>
      <c r="E25" s="22">
        <f>IF(OR(E$4="",E$4=0),"",-SUMIF(Calculations!$C$75:$FZ$75,E$4,Calculations!$C$84:$FZ$84))</f>
        <v>0</v>
      </c>
      <c r="F25" s="22">
        <f>IF(OR(F$4="",F$4=0),"",-SUMIF(Calculations!$C$75:$FZ$75,F$4,Calculations!$C$84:$FZ$84))</f>
        <v>-15911.999999999998</v>
      </c>
      <c r="G25" s="22">
        <f>IF(OR(G$4="",G$4=0),"",-SUMIF(Calculations!$C$75:$FZ$75,G$4,Calculations!$C$84:$FZ$84))</f>
        <v>-16230.239999999998</v>
      </c>
      <c r="H25" s="22">
        <f>IF(OR(H$4="",H$4=0),"",-SUMIF(Calculations!$C$75:$FZ$75,H$4,Calculations!$C$84:$FZ$84))</f>
        <v>-16554.844799999999</v>
      </c>
      <c r="I25" s="22">
        <f>IF(OR(I$4="",I$4=0),"",-SUMIF(Calculations!$C$75:$FZ$75,I$4,Calculations!$C$84:$FZ$84))</f>
        <v>-16885.941695999998</v>
      </c>
      <c r="J25" s="22">
        <f>IF(OR(J$4="",J$4=0),"",-SUMIF(Calculations!$C$75:$FZ$75,J$4,Calculations!$C$84:$FZ$84))</f>
        <v>-17223.660529920002</v>
      </c>
      <c r="K25" s="22">
        <f>IF(OR(K$4="",K$4=0),"",-SUMIF(Calculations!$C$75:$FZ$75,K$4,Calculations!$C$84:$FZ$84))</f>
        <v>-17568.133740518402</v>
      </c>
      <c r="L25" s="22">
        <f>IF(OR(L$4="",L$4=0),"",-SUMIF(Calculations!$C$75:$FZ$75,L$4,Calculations!$C$84:$FZ$84))</f>
        <v>-17919.496415328766</v>
      </c>
      <c r="M25" s="22">
        <f>IF(OR(M$4="",M$4=0),"",-SUMIF(Calculations!$C$75:$FZ$75,M$4,Calculations!$C$84:$FZ$84))</f>
        <v>-18277.886343635342</v>
      </c>
      <c r="N25" s="22">
        <f>IF(OR(N$4="",N$4=0),"",-SUMIF(Calculations!$C$75:$FZ$75,N$4,Calculations!$C$84:$FZ$84))</f>
        <v>-18643.444070508049</v>
      </c>
      <c r="O25" s="22">
        <f>IF(OR(O$4="",O$4=0),"",-SUMIF(Calculations!$C$75:$FZ$75,O$4,Calculations!$C$84:$FZ$84))</f>
        <v>-19016.312951918211</v>
      </c>
      <c r="P25" s="22">
        <f>IF(OR(P$4="",P$4=0),"",-SUMIF(Calculations!$C$75:$FZ$75,P$4,Calculations!$C$84:$FZ$84))</f>
        <v>-19396.639210956571</v>
      </c>
      <c r="Q25" s="22">
        <f>IF(OR(Q$4="",Q$4=0),"",-SUMIF(Calculations!$C$75:$FZ$75,Q$4,Calculations!$C$84:$FZ$84))</f>
        <v>-19784.571995175706</v>
      </c>
      <c r="R25" s="22">
        <f>IF(OR(R$4="",R$4=0),"",-SUMIF(Calculations!$C$75:$FZ$75,R$4,Calculations!$C$84:$FZ$84))</f>
        <v>-20180.263435079218</v>
      </c>
      <c r="S25" s="29">
        <f>IF(OR(S$4="",S$4=0),"",-SUMIF(Calculations!$C$75:$FZ$75,S$4,Calculations!$C$84:$FZ$84))</f>
        <v>-20583.868703780801</v>
      </c>
    </row>
    <row r="26" spans="2:19" x14ac:dyDescent="0.2">
      <c r="B26" s="118" t="s">
        <v>124</v>
      </c>
      <c r="C26" s="5"/>
      <c r="D26" s="123"/>
      <c r="E26" s="22">
        <f>IF(OR(E$4="",E$4=0),"",Expenses!E20)</f>
        <v>-350000</v>
      </c>
      <c r="F26" s="22">
        <f>IF(OR(F$4="",F$4=0),"",Expenses!F20)</f>
        <v>-200000</v>
      </c>
      <c r="G26" s="22">
        <f>IF(OR(G$4="",G$4=0),"",Expenses!G20)</f>
        <v>0</v>
      </c>
      <c r="H26" s="22">
        <f>IF(OR(H$4="",H$4=0),"",Expenses!H20)</f>
        <v>0</v>
      </c>
      <c r="I26" s="22">
        <f>IF(OR(I$4="",I$4=0),"",Expenses!I20)</f>
        <v>0</v>
      </c>
      <c r="J26" s="22">
        <f>IF(OR(J$4="",J$4=0),"",Expenses!J20)</f>
        <v>0</v>
      </c>
      <c r="K26" s="22">
        <f>IF(OR(K$4="",K$4=0),"",Expenses!K20)</f>
        <v>0</v>
      </c>
      <c r="L26" s="22">
        <f>IF(OR(L$4="",L$4=0),"",Expenses!L20)</f>
        <v>0</v>
      </c>
      <c r="M26" s="22">
        <f>IF(OR(M$4="",M$4=0),"",Expenses!M20)</f>
        <v>0</v>
      </c>
      <c r="N26" s="22">
        <f>IF(OR(N$4="",N$4=0),"",Expenses!N20)</f>
        <v>0</v>
      </c>
      <c r="O26" s="22">
        <f>IF(OR(O$4="",O$4=0),"",Expenses!O20)</f>
        <v>0</v>
      </c>
      <c r="P26" s="22">
        <f>IF(OR(P$4="",P$4=0),"",Expenses!P20)</f>
        <v>0</v>
      </c>
      <c r="Q26" s="22">
        <f>IF(OR(Q$4="",Q$4=0),"",Expenses!Q20)</f>
        <v>0</v>
      </c>
      <c r="R26" s="22">
        <f>IF(OR(R$4="",R$4=0),"",Expenses!R20)</f>
        <v>0</v>
      </c>
      <c r="S26" s="29">
        <f>IF(OR(S$4="",S$4=0),"",Expenses!S20)</f>
        <v>0</v>
      </c>
    </row>
    <row r="27" spans="2:19" ht="19" x14ac:dyDescent="0.35">
      <c r="B27" s="118" t="s">
        <v>125</v>
      </c>
      <c r="C27" s="5"/>
      <c r="D27" s="123"/>
      <c r="E27" s="23">
        <f>IF(OR(E$4="",E$4=0),"",-SUMIF(Calculations!$C$25:$FZ$25,E$4,Calculations!$C$34:$FZ$34))</f>
        <v>-97200</v>
      </c>
      <c r="F27" s="23">
        <f>IF(OR(F$4="",F$4=0),"",-SUMIF(Calculations!$C$25:$FZ$25,F$4,Calculations!$C$34:$FZ$34))</f>
        <v>-99630</v>
      </c>
      <c r="G27" s="23">
        <f>IF(OR(G$4="",G$4=0),"",-SUMIF(Calculations!$C$25:$FZ$25,G$4,Calculations!$C$34:$FZ$34))</f>
        <v>-102120.75</v>
      </c>
      <c r="H27" s="23">
        <f>IF(OR(H$4="",H$4=0),"",-SUMIF(Calculations!$C$25:$FZ$25,H$4,Calculations!$C$34:$FZ$34))</f>
        <v>-104673.76874999994</v>
      </c>
      <c r="I27" s="23">
        <f>IF(OR(I$4="",I$4=0),"",-SUMIF(Calculations!$C$25:$FZ$25,I$4,Calculations!$C$34:$FZ$34))</f>
        <v>-107290.61296874999</v>
      </c>
      <c r="J27" s="23">
        <f>IF(OR(J$4="",J$4=0),"",-SUMIF(Calculations!$C$25:$FZ$25,J$4,Calculations!$C$34:$FZ$34))</f>
        <v>-109972.87829296874</v>
      </c>
      <c r="K27" s="23">
        <f>IF(OR(K$4="",K$4=0),"",-SUMIF(Calculations!$C$25:$FZ$25,K$4,Calculations!$C$34:$FZ$34))</f>
        <v>-112722.20025029295</v>
      </c>
      <c r="L27" s="23">
        <f>IF(OR(L$4="",L$4=0),"",-SUMIF(Calculations!$C$25:$FZ$25,L$4,Calculations!$C$34:$FZ$34))</f>
        <v>-115540.25525655028</v>
      </c>
      <c r="M27" s="23">
        <f>IF(OR(M$4="",M$4=0),"",-SUMIF(Calculations!$C$25:$FZ$25,M$4,Calculations!$C$34:$FZ$34))</f>
        <v>-118428.76163796399</v>
      </c>
      <c r="N27" s="23">
        <f>IF(OR(N$4="",N$4=0),"",-SUMIF(Calculations!$C$25:$FZ$25,N$4,Calculations!$C$34:$FZ$34))</f>
        <v>-121389.48067891311</v>
      </c>
      <c r="O27" s="23">
        <f>IF(OR(O$4="",O$4=0),"",-SUMIF(Calculations!$C$25:$FZ$25,O$4,Calculations!$C$34:$FZ$34))</f>
        <v>-124424.21769588588</v>
      </c>
      <c r="P27" s="23">
        <f>IF(OR(P$4="",P$4=0),"",-SUMIF(Calculations!$C$25:$FZ$25,P$4,Calculations!$C$34:$FZ$34))</f>
        <v>-127534.82313828309</v>
      </c>
      <c r="Q27" s="23">
        <f>IF(OR(Q$4="",Q$4=0),"",-SUMIF(Calculations!$C$25:$FZ$25,Q$4,Calculations!$C$34:$FZ$34))</f>
        <v>-130723.19371674016</v>
      </c>
      <c r="R27" s="23">
        <f>IF(OR(R$4="",R$4=0),"",-SUMIF(Calculations!$C$25:$FZ$25,R$4,Calculations!$C$34:$FZ$34))</f>
        <v>-133991.27355965858</v>
      </c>
      <c r="S27" s="108">
        <f>IF(OR(S$4="",S$4=0),"",-SUMIF(Calculations!$C$25:$FZ$25,S$4,Calculations!$C$34:$FZ$34))</f>
        <v>-137341.05539865006</v>
      </c>
    </row>
    <row r="28" spans="2:19" x14ac:dyDescent="0.2">
      <c r="B28" s="4" t="s">
        <v>126</v>
      </c>
      <c r="C28" s="5"/>
      <c r="D28" s="119">
        <f>-AVERAGE(E28:P28)/AVERAGE($E$7:$P$7)</f>
        <v>4.5553959400315459E-2</v>
      </c>
      <c r="E28" s="124">
        <f>IF(OR(E$4="",E$4=0),"",SUM(E25:E27))</f>
        <v>-447200</v>
      </c>
      <c r="F28" s="124">
        <f t="shared" ref="F28:O28" si="11">IF(OR(F$4="",F$4=0),"",SUM(F25:F27))</f>
        <v>-315542</v>
      </c>
      <c r="G28" s="124">
        <f t="shared" si="11"/>
        <v>-118350.98999999999</v>
      </c>
      <c r="H28" s="124">
        <f t="shared" si="11"/>
        <v>-121228.61354999995</v>
      </c>
      <c r="I28" s="124">
        <f t="shared" si="11"/>
        <v>-124176.55466474999</v>
      </c>
      <c r="J28" s="124">
        <f t="shared" si="11"/>
        <v>-127196.53882288875</v>
      </c>
      <c r="K28" s="124">
        <f t="shared" si="11"/>
        <v>-130290.33399081136</v>
      </c>
      <c r="L28" s="124">
        <f t="shared" si="11"/>
        <v>-133459.75167187906</v>
      </c>
      <c r="M28" s="124">
        <f t="shared" si="11"/>
        <v>-136706.64798159932</v>
      </c>
      <c r="N28" s="124">
        <f t="shared" si="11"/>
        <v>-140032.92474942116</v>
      </c>
      <c r="O28" s="124">
        <f t="shared" si="11"/>
        <v>-143440.53064780409</v>
      </c>
      <c r="P28" s="124">
        <f t="shared" ref="P28" si="12">IF(OR(P$4="",P$4=0),"",SUM(P25:P27))</f>
        <v>-146931.46234923965</v>
      </c>
      <c r="Q28" s="124">
        <f t="shared" ref="Q28" si="13">IF(OR(Q$4="",Q$4=0),"",SUM(Q25:Q27))</f>
        <v>-150507.76571191585</v>
      </c>
      <c r="R28" s="124">
        <f t="shared" ref="R28" si="14">IF(OR(R$4="",R$4=0),"",SUM(R25:R27))</f>
        <v>-154171.53699473781</v>
      </c>
      <c r="S28" s="125">
        <f t="shared" ref="S28" si="15">IF(OR(S$4="",S$4=0),"",SUM(S25:S27))</f>
        <v>-157924.92410243087</v>
      </c>
    </row>
    <row r="29" spans="2:19" x14ac:dyDescent="0.2">
      <c r="B29" s="4"/>
      <c r="C29" s="5"/>
      <c r="D29" s="123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9"/>
    </row>
    <row r="30" spans="2:19" x14ac:dyDescent="0.2">
      <c r="B30" s="122" t="s">
        <v>127</v>
      </c>
      <c r="C30" s="5"/>
      <c r="D30" s="119">
        <f>AVERAGE(E30:P30)/AVERAGE($E$7:$P$7)</f>
        <v>0.60763058919467638</v>
      </c>
      <c r="E30" s="124">
        <f>IF(OR(E$4="",E$4=0),"",SUM(E23,E28))</f>
        <v>1852647.4879999999</v>
      </c>
      <c r="F30" s="124">
        <f t="shared" ref="F30:S30" si="16">IF(OR(F$4="",F$4=0),"",SUM(F23,F28))</f>
        <v>2032346.9033066668</v>
      </c>
      <c r="G30" s="124">
        <f t="shared" si="16"/>
        <v>2288952.1855925322</v>
      </c>
      <c r="H30" s="124">
        <f t="shared" si="16"/>
        <v>2311878.5945063084</v>
      </c>
      <c r="I30" s="124">
        <f t="shared" si="16"/>
        <v>2334815.1311371862</v>
      </c>
      <c r="J30" s="124">
        <f t="shared" si="16"/>
        <v>2357752.1037321049</v>
      </c>
      <c r="K30" s="124">
        <f t="shared" si="16"/>
        <v>2380679.3836225397</v>
      </c>
      <c r="L30" s="124">
        <f t="shared" si="16"/>
        <v>2403586.3900134326</v>
      </c>
      <c r="M30" s="124">
        <f t="shared" si="16"/>
        <v>2426462.0742863612</v>
      </c>
      <c r="N30" s="124">
        <f t="shared" si="16"/>
        <v>2449294.9038020289</v>
      </c>
      <c r="O30" s="124">
        <f t="shared" si="16"/>
        <v>2472072.8451866372</v>
      </c>
      <c r="P30" s="124">
        <f t="shared" si="16"/>
        <v>2494783.347086261</v>
      </c>
      <c r="Q30" s="124">
        <f t="shared" si="16"/>
        <v>2517413.322372877</v>
      </c>
      <c r="R30" s="124">
        <f t="shared" si="16"/>
        <v>2539949.1297851903</v>
      </c>
      <c r="S30" s="125">
        <f t="shared" si="16"/>
        <v>2562376.5549868471</v>
      </c>
    </row>
    <row r="31" spans="2:19" x14ac:dyDescent="0.2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DCEFF-19DC-D740-8700-1D99F1C264DA}">
  <sheetPr>
    <tabColor theme="9" tint="0.59999389629810485"/>
  </sheetPr>
  <dimension ref="B2:Y97"/>
  <sheetViews>
    <sheetView workbookViewId="0">
      <selection activeCell="D98" sqref="D98"/>
    </sheetView>
  </sheetViews>
  <sheetFormatPr baseColWidth="10" defaultRowHeight="16" x14ac:dyDescent="0.2"/>
  <cols>
    <col min="2" max="2" width="30.83203125" customWidth="1"/>
    <col min="3" max="5" width="14.33203125" bestFit="1" customWidth="1"/>
    <col min="6" max="18" width="12.1640625" bestFit="1" customWidth="1"/>
  </cols>
  <sheetData>
    <row r="2" spans="2:25" x14ac:dyDescent="0.2">
      <c r="B2" s="43" t="s">
        <v>140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2"/>
    </row>
    <row r="3" spans="2:25" x14ac:dyDescent="0.2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</row>
    <row r="4" spans="2:25" x14ac:dyDescent="0.2">
      <c r="B4" s="4"/>
      <c r="C4" s="126"/>
      <c r="D4" s="127">
        <v>1</v>
      </c>
      <c r="E4" s="127">
        <f t="shared" ref="E4:R4" si="0">IF(OR(D4="",D4=Terminal_Cap_Year),"",D4+1)</f>
        <v>2</v>
      </c>
      <c r="F4" s="127">
        <f t="shared" si="0"/>
        <v>3</v>
      </c>
      <c r="G4" s="127">
        <f t="shared" si="0"/>
        <v>4</v>
      </c>
      <c r="H4" s="127">
        <f t="shared" si="0"/>
        <v>5</v>
      </c>
      <c r="I4" s="127">
        <f t="shared" si="0"/>
        <v>6</v>
      </c>
      <c r="J4" s="127">
        <f t="shared" si="0"/>
        <v>7</v>
      </c>
      <c r="K4" s="127">
        <f t="shared" si="0"/>
        <v>8</v>
      </c>
      <c r="L4" s="127">
        <f t="shared" si="0"/>
        <v>9</v>
      </c>
      <c r="M4" s="127">
        <f t="shared" si="0"/>
        <v>10</v>
      </c>
      <c r="N4" s="127">
        <f t="shared" si="0"/>
        <v>11</v>
      </c>
      <c r="O4" s="127">
        <f t="shared" si="0"/>
        <v>12</v>
      </c>
      <c r="P4" s="127">
        <f t="shared" si="0"/>
        <v>13</v>
      </c>
      <c r="Q4" s="127">
        <f t="shared" si="0"/>
        <v>14</v>
      </c>
      <c r="R4" s="127">
        <f t="shared" si="0"/>
        <v>15</v>
      </c>
      <c r="S4" s="6"/>
    </row>
    <row r="5" spans="2:25" x14ac:dyDescent="0.2">
      <c r="B5" s="7"/>
      <c r="C5" s="49" t="s">
        <v>88</v>
      </c>
      <c r="D5" s="50">
        <f>EOMONTH(Analysis_Start,11)</f>
        <v>44196</v>
      </c>
      <c r="E5" s="50">
        <f>EOMONTH(Analysis_Start,11)</f>
        <v>44196</v>
      </c>
      <c r="F5" s="50">
        <f t="shared" ref="F5:R5" si="1">IF(F4="","",EOMONTH(Analysis_Start,(11*F4)+E4))</f>
        <v>44926</v>
      </c>
      <c r="G5" s="50">
        <f t="shared" si="1"/>
        <v>45291</v>
      </c>
      <c r="H5" s="50">
        <f t="shared" si="1"/>
        <v>45657</v>
      </c>
      <c r="I5" s="50">
        <f t="shared" si="1"/>
        <v>46022</v>
      </c>
      <c r="J5" s="50">
        <f t="shared" si="1"/>
        <v>46387</v>
      </c>
      <c r="K5" s="50">
        <f t="shared" si="1"/>
        <v>46752</v>
      </c>
      <c r="L5" s="50">
        <f t="shared" si="1"/>
        <v>47118</v>
      </c>
      <c r="M5" s="50">
        <f t="shared" si="1"/>
        <v>47483</v>
      </c>
      <c r="N5" s="50">
        <f t="shared" si="1"/>
        <v>47848</v>
      </c>
      <c r="O5" s="50">
        <f t="shared" si="1"/>
        <v>48213</v>
      </c>
      <c r="P5" s="50">
        <f t="shared" si="1"/>
        <v>48579</v>
      </c>
      <c r="Q5" s="50">
        <f t="shared" si="1"/>
        <v>48944</v>
      </c>
      <c r="R5" s="50">
        <f t="shared" si="1"/>
        <v>49309</v>
      </c>
      <c r="S5" s="9"/>
    </row>
    <row r="6" spans="2:25" x14ac:dyDescent="0.2">
      <c r="B6" s="4" t="s">
        <v>113</v>
      </c>
      <c r="C6" s="5"/>
      <c r="D6" s="22">
        <f>IF(OR(D$4="",D$4=0),"",'Annual Cash Flow'!E11)</f>
        <v>2939430.4</v>
      </c>
      <c r="E6" s="22">
        <f>IF(OR(E$4="",E$4=0),"",'Annual Cash Flow'!F11)</f>
        <v>3006659.3026666669</v>
      </c>
      <c r="F6" s="22">
        <f>IF(OR(F$4="",F$4=0),"",'Annual Cash Flow'!G11)</f>
        <v>3085836.6869333321</v>
      </c>
      <c r="G6" s="22">
        <f>IF(OR(G$4="",G$4=0),"",'Annual Cash Flow'!H11)</f>
        <v>3131996.7247373327</v>
      </c>
      <c r="H6" s="22">
        <f>IF(OR(H$4="",H$4=0),"",'Annual Cash Flow'!I11)</f>
        <v>3178847.8879833911</v>
      </c>
      <c r="I6" s="22">
        <f>IF(OR(I$4="",I$4=0),"",'Annual Cash Flow'!J11)</f>
        <v>3226400.5308018923</v>
      </c>
      <c r="J6" s="22">
        <f>IF(OR(J$4="",J$4=0),"",'Annual Cash Flow'!K11)</f>
        <v>3274665.1625076565</v>
      </c>
      <c r="K6" s="22">
        <f>IF(OR(K$4="",K$4=0),"",'Annual Cash Flow'!L11)</f>
        <v>3323652.4499264467</v>
      </c>
      <c r="L6" s="22">
        <f>IF(OR(L$4="",L$4=0),"",'Annual Cash Flow'!M11)</f>
        <v>3373373.2197563294</v>
      </c>
      <c r="M6" s="22">
        <f>IF(OR(M$4="",M$4=0),"",'Annual Cash Flow'!N11)</f>
        <v>3423838.4609644697</v>
      </c>
      <c r="N6" s="22">
        <f>IF(OR(N$4="",N$4=0),"",'Annual Cash Flow'!O11)</f>
        <v>3475059.3272198518</v>
      </c>
      <c r="O6" s="22">
        <f>IF(OR(O$4="",O$4=0),"",'Annual Cash Flow'!P11)</f>
        <v>3527047.1393624735</v>
      </c>
      <c r="P6" s="22">
        <f>IF(OR(P$4="",P$4=0),"",'Annual Cash Flow'!Q11)</f>
        <v>3579813.3879095749</v>
      </c>
      <c r="Q6" s="22">
        <f>IF(OR(Q$4="",Q$4=0),"",'Annual Cash Flow'!R11)</f>
        <v>3633369.735599454</v>
      </c>
      <c r="R6" s="22">
        <f>IF(OR(R$4="",R$4=0),"",'Annual Cash Flow'!S11)</f>
        <v>3687728.0199733893</v>
      </c>
      <c r="S6" s="6"/>
    </row>
    <row r="7" spans="2:25" ht="19" x14ac:dyDescent="0.35">
      <c r="B7" s="128" t="s">
        <v>45</v>
      </c>
      <c r="C7" s="5"/>
      <c r="D7" s="23">
        <f>IF(OR(D$4="",D$4=0),"",'Annual Cash Flow'!E21)</f>
        <v>-639582.91200000001</v>
      </c>
      <c r="E7" s="23">
        <f>IF(OR(E$4="",E$4=0),"",'Annual Cash Flow'!F21)</f>
        <v>-658770.39936000004</v>
      </c>
      <c r="F7" s="23">
        <f>IF(OR(F$4="",F$4=0),"",'Annual Cash Flow'!G21)</f>
        <v>-678533.51134080009</v>
      </c>
      <c r="G7" s="23">
        <f>IF(OR(G$4="",G$4=0),"",'Annual Cash Flow'!H21)</f>
        <v>-698889.51668102411</v>
      </c>
      <c r="H7" s="23">
        <f>IF(OR(H$4="",H$4=0),"",'Annual Cash Flow'!I21)</f>
        <v>-719856.20218145486</v>
      </c>
      <c r="I7" s="23">
        <f>IF(OR(I$4="",I$4=0),"",'Annual Cash Flow'!J21)</f>
        <v>-741451.88824689854</v>
      </c>
      <c r="J7" s="23">
        <f>IF(OR(J$4="",J$4=0),"",'Annual Cash Flow'!K21)</f>
        <v>-763695.44489430555</v>
      </c>
      <c r="K7" s="23">
        <f>IF(OR(K$4="",K$4=0),"",'Annual Cash Flow'!L21)</f>
        <v>-786606.30824113474</v>
      </c>
      <c r="L7" s="23">
        <f>IF(OR(L$4="",L$4=0),"",'Annual Cash Flow'!M21)</f>
        <v>-810204.49748836877</v>
      </c>
      <c r="M7" s="23">
        <f>IF(OR(M$4="",M$4=0),"",'Annual Cash Flow'!N21)</f>
        <v>-834510.63241301989</v>
      </c>
      <c r="N7" s="23">
        <f>IF(OR(N$4="",N$4=0),"",'Annual Cash Flow'!O21)</f>
        <v>-859545.9513854105</v>
      </c>
      <c r="O7" s="23">
        <f>IF(OR(O$4="",O$4=0),"",'Annual Cash Flow'!P21)</f>
        <v>-885332.32992697286</v>
      </c>
      <c r="P7" s="23">
        <f>IF(OR(P$4="",P$4=0),"",'Annual Cash Flow'!Q21)</f>
        <v>-911892.29982478207</v>
      </c>
      <c r="Q7" s="23">
        <f>IF(OR(Q$4="",Q$4=0),"",'Annual Cash Flow'!R21)</f>
        <v>-939249.06881952554</v>
      </c>
      <c r="R7" s="23">
        <f>IF(OR(R$4="",R$4=0),"",'Annual Cash Flow'!S21)</f>
        <v>-967426.54088411131</v>
      </c>
      <c r="S7" s="6"/>
    </row>
    <row r="8" spans="2:25" x14ac:dyDescent="0.2">
      <c r="B8" s="4" t="s">
        <v>122</v>
      </c>
      <c r="C8" s="5"/>
      <c r="D8" s="22">
        <f>IF(OR(D$4="",D$4=0),"",'Annual Cash Flow'!E23)</f>
        <v>2299847.4879999999</v>
      </c>
      <c r="E8" s="22">
        <f>IF(OR(E$4="",E$4=0),"",'Annual Cash Flow'!F23)</f>
        <v>2347888.9033066668</v>
      </c>
      <c r="F8" s="22">
        <f>IF(OR(F$4="",F$4=0),"",'Annual Cash Flow'!G23)</f>
        <v>2407303.1755925319</v>
      </c>
      <c r="G8" s="22">
        <f>IF(OR(G$4="",G$4=0),"",'Annual Cash Flow'!H23)</f>
        <v>2433107.2080563083</v>
      </c>
      <c r="H8" s="22">
        <f>IF(OR(H$4="",H$4=0),"",'Annual Cash Flow'!I23)</f>
        <v>2458991.6858019363</v>
      </c>
      <c r="I8" s="22">
        <f>IF(OR(I$4="",I$4=0),"",'Annual Cash Flow'!J23)</f>
        <v>2484948.6425549937</v>
      </c>
      <c r="J8" s="22">
        <f>IF(OR(J$4="",J$4=0),"",'Annual Cash Flow'!K23)</f>
        <v>2510969.7176133511</v>
      </c>
      <c r="K8" s="22">
        <f>IF(OR(K$4="",K$4=0),"",'Annual Cash Flow'!L23)</f>
        <v>2537046.1416853117</v>
      </c>
      <c r="L8" s="22">
        <f>IF(OR(L$4="",L$4=0),"",'Annual Cash Flow'!M23)</f>
        <v>2563168.7222679607</v>
      </c>
      <c r="M8" s="22">
        <f>IF(OR(M$4="",M$4=0),"",'Annual Cash Flow'!N23)</f>
        <v>2589327.8285514498</v>
      </c>
      <c r="N8" s="22">
        <f>IF(OR(N$4="",N$4=0),"",'Annual Cash Flow'!O23)</f>
        <v>2615513.3758344413</v>
      </c>
      <c r="O8" s="22">
        <f>IF(OR(O$4="",O$4=0),"",'Annual Cash Flow'!P23)</f>
        <v>2641714.8094355008</v>
      </c>
      <c r="P8" s="22">
        <f>IF(OR(P$4="",P$4=0),"",'Annual Cash Flow'!Q23)</f>
        <v>2667921.0880847927</v>
      </c>
      <c r="Q8" s="22">
        <f>IF(OR(Q$4="",Q$4=0),"",'Annual Cash Flow'!R23)</f>
        <v>2694120.6667799284</v>
      </c>
      <c r="R8" s="22">
        <f>IF(OR(R$4="",R$4=0),"",'Annual Cash Flow'!S23)</f>
        <v>2720301.4790892778</v>
      </c>
      <c r="S8" s="6"/>
    </row>
    <row r="9" spans="2:25" ht="19" x14ac:dyDescent="0.35">
      <c r="B9" s="128" t="s">
        <v>126</v>
      </c>
      <c r="C9" s="5"/>
      <c r="D9" s="23">
        <f>IF(OR(D$4="",D$4=0),"",'Annual Cash Flow'!E28)</f>
        <v>-447200</v>
      </c>
      <c r="E9" s="23">
        <f>IF(OR(E$4="",E$4=0),"",'Annual Cash Flow'!F28)</f>
        <v>-315542</v>
      </c>
      <c r="F9" s="23">
        <f>IF(OR(F$4="",F$4=0),"",'Annual Cash Flow'!G28)</f>
        <v>-118350.98999999999</v>
      </c>
      <c r="G9" s="23">
        <f>IF(OR(G$4="",G$4=0),"",'Annual Cash Flow'!H28)</f>
        <v>-121228.61354999995</v>
      </c>
      <c r="H9" s="23">
        <f>IF(OR(H$4="",H$4=0),"",'Annual Cash Flow'!I28)</f>
        <v>-124176.55466474999</v>
      </c>
      <c r="I9" s="23">
        <f>IF(OR(I$4="",I$4=0),"",'Annual Cash Flow'!J28)</f>
        <v>-127196.53882288875</v>
      </c>
      <c r="J9" s="23">
        <f>IF(OR(J$4="",J$4=0),"",'Annual Cash Flow'!K28)</f>
        <v>-130290.33399081136</v>
      </c>
      <c r="K9" s="23">
        <f>IF(OR(K$4="",K$4=0),"",'Annual Cash Flow'!L28)</f>
        <v>-133459.75167187906</v>
      </c>
      <c r="L9" s="23">
        <f>IF(OR(L$4="",L$4=0),"",'Annual Cash Flow'!M28)</f>
        <v>-136706.64798159932</v>
      </c>
      <c r="M9" s="23">
        <f>IF(OR(M$4="",M$4=0),"",'Annual Cash Flow'!N28)</f>
        <v>-140032.92474942116</v>
      </c>
      <c r="N9" s="23">
        <f>IF(OR(N$4="",N$4=0),"",'Annual Cash Flow'!O28)</f>
        <v>-143440.53064780409</v>
      </c>
      <c r="O9" s="23">
        <f>IF(OR(O$4="",O$4=0),"",'Annual Cash Flow'!P28)</f>
        <v>-146931.46234923965</v>
      </c>
      <c r="P9" s="23">
        <f>IF(OR(P$4="",P$4=0),"",'Annual Cash Flow'!Q28)</f>
        <v>-150507.76571191585</v>
      </c>
      <c r="Q9" s="23">
        <f>IF(OR(Q$4="",Q$4=0),"",'Annual Cash Flow'!R28)</f>
        <v>-154171.53699473781</v>
      </c>
      <c r="R9" s="23">
        <f>IF(OR(R$4="",R$4=0),"",'Annual Cash Flow'!S28)</f>
        <v>-157924.92410243087</v>
      </c>
      <c r="S9" s="6"/>
    </row>
    <row r="10" spans="2:25" x14ac:dyDescent="0.2">
      <c r="B10" s="4" t="s">
        <v>127</v>
      </c>
      <c r="C10" s="5"/>
      <c r="D10" s="22">
        <f>IF(OR(D$4="",D$4=0),"",'Annual Cash Flow'!E30)</f>
        <v>1852647.4879999999</v>
      </c>
      <c r="E10" s="22">
        <f>IF(OR(E$4="",E$4=0),"",'Annual Cash Flow'!F30)</f>
        <v>2032346.9033066668</v>
      </c>
      <c r="F10" s="22">
        <f>IF(OR(F$4="",F$4=0),"",'Annual Cash Flow'!G30)</f>
        <v>2288952.1855925322</v>
      </c>
      <c r="G10" s="22">
        <f>IF(OR(G$4="",G$4=0),"",'Annual Cash Flow'!H30)</f>
        <v>2311878.5945063084</v>
      </c>
      <c r="H10" s="22">
        <f>IF(OR(H$4="",H$4=0),"",'Annual Cash Flow'!I30)</f>
        <v>2334815.1311371862</v>
      </c>
      <c r="I10" s="22">
        <f>IF(OR(I$4="",I$4=0),"",'Annual Cash Flow'!J30)</f>
        <v>2357752.1037321049</v>
      </c>
      <c r="J10" s="22">
        <f>IF(OR(J$4="",J$4=0),"",'Annual Cash Flow'!K30)</f>
        <v>2380679.3836225397</v>
      </c>
      <c r="K10" s="22">
        <f>IF(OR(K$4="",K$4=0),"",'Annual Cash Flow'!L30)</f>
        <v>2403586.3900134326</v>
      </c>
      <c r="L10" s="22">
        <f>IF(OR(L$4="",L$4=0),"",'Annual Cash Flow'!M30)</f>
        <v>2426462.0742863612</v>
      </c>
      <c r="M10" s="22">
        <f>IF(OR(M$4="",M$4=0),"",'Annual Cash Flow'!N30)</f>
        <v>2449294.9038020289</v>
      </c>
      <c r="N10" s="22">
        <f>IF(OR(N$4="",N$4=0),"",'Annual Cash Flow'!O30)</f>
        <v>2472072.8451866372</v>
      </c>
      <c r="O10" s="22">
        <f>IF(OR(O$4="",O$4=0),"",'Annual Cash Flow'!P30)</f>
        <v>2494783.347086261</v>
      </c>
      <c r="P10" s="22">
        <f>IF(OR(P$4="",P$4=0),"",'Annual Cash Flow'!Q30)</f>
        <v>2517413.322372877</v>
      </c>
      <c r="Q10" s="22">
        <f>IF(OR(Q$4="",Q$4=0),"",'Annual Cash Flow'!R30)</f>
        <v>2539949.1297851903</v>
      </c>
      <c r="R10" s="22">
        <f>IF(OR(R$4="",R$4=0),"",'Annual Cash Flow'!S30)</f>
        <v>2562376.5549868471</v>
      </c>
      <c r="S10" s="6"/>
    </row>
    <row r="11" spans="2:25" x14ac:dyDescent="0.2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6"/>
    </row>
    <row r="12" spans="2:25" x14ac:dyDescent="0.2">
      <c r="B12" s="4" t="s">
        <v>141</v>
      </c>
      <c r="C12" s="5"/>
      <c r="D12" s="17">
        <f>'Property Summary'!$C$11</f>
        <v>6.5000000000000002E-2</v>
      </c>
      <c r="E12" s="129">
        <f>IF(OR(E$4="",E$4=0),"",IF(E$4&gt;Effective_Hold_Period,"",(D$12+('Property Summary'!$C$10/10000))))</f>
        <v>6.5500000000000003E-2</v>
      </c>
      <c r="F12" s="129">
        <f>IF(OR(F$4="",F$4=0),"",IF(F$4&gt;Effective_Hold_Period,"",(E$12+('Property Summary'!$C$10/10000))))</f>
        <v>6.6000000000000003E-2</v>
      </c>
      <c r="G12" s="129">
        <f>IF(OR(G$4="",G$4=0),"",IF(G$4&gt;Effective_Hold_Period,"",(F$12+('Property Summary'!$C$10/10000))))</f>
        <v>6.6500000000000004E-2</v>
      </c>
      <c r="H12" s="129">
        <f>IF(OR(H$4="",H$4=0),"",IF(H$4&gt;Effective_Hold_Period,"",(G$12+('Property Summary'!$C$10/10000))))</f>
        <v>6.7000000000000004E-2</v>
      </c>
      <c r="I12" s="129">
        <f>IF(OR(I$4="",I$4=0),"",IF(I$4&gt;Effective_Hold_Period,"",(H$12+('Property Summary'!$C$10/10000))))</f>
        <v>6.7500000000000004E-2</v>
      </c>
      <c r="J12" s="129">
        <f>IF(OR(J$4="",J$4=0),"",IF(J$4&gt;Effective_Hold_Period,"",(I$12+('Property Summary'!$C$10/10000))))</f>
        <v>6.8000000000000005E-2</v>
      </c>
      <c r="K12" s="129">
        <f>IF(OR(K$4="",K$4=0),"",IF(K$4&gt;Effective_Hold_Period,"",(J$12+('Property Summary'!$C$10/10000))))</f>
        <v>6.8500000000000005E-2</v>
      </c>
      <c r="L12" s="129">
        <f>IF(OR(L$4="",L$4=0),"",IF(L$4&gt;Effective_Hold_Period,"",(K$12+('Property Summary'!$C$10/10000))))</f>
        <v>6.9000000000000006E-2</v>
      </c>
      <c r="M12" s="129">
        <f>IF(OR(M$4="",M$4=0),"",IF(M$4&gt;Effective_Hold_Period,"",(L$12+('Property Summary'!$C$10/10000))))</f>
        <v>6.9500000000000006E-2</v>
      </c>
      <c r="N12" s="129">
        <f>IF(OR(N$4="",N$4=0),"",IF(N$4&gt;Effective_Hold_Period,"",(M$12+('Property Summary'!$C$10/10000))))</f>
        <v>7.0000000000000007E-2</v>
      </c>
      <c r="O12" s="129">
        <f>IF(OR(O$4="",O$4=0),"",IF(O$4&gt;Effective_Hold_Period,"",(N$12+('Property Summary'!$C$10/10000))))</f>
        <v>7.0500000000000007E-2</v>
      </c>
      <c r="P12" s="129">
        <f>IF(OR(P$4="",P$4=0),"",IF(P$4&gt;Effective_Hold_Period,"",(O$12+('Property Summary'!$C$10/10000))))</f>
        <v>7.1000000000000008E-2</v>
      </c>
      <c r="Q12" s="129">
        <f>IF(OR(Q$4="",Q$4=0),"",IF(Q$4&gt;Effective_Hold_Period,"",(P$12+('Property Summary'!$C$10/10000))))</f>
        <v>7.1500000000000008E-2</v>
      </c>
      <c r="R12" s="129">
        <f>IF(OR(R$4="",R$4=0),"",IF(R$4&gt;Effective_Hold_Period,"",(Q$12+('Property Summary'!$C$10/10000))))</f>
        <v>7.2000000000000008E-2</v>
      </c>
      <c r="S12" s="6"/>
    </row>
    <row r="13" spans="2:25" x14ac:dyDescent="0.2">
      <c r="B13" s="4" t="s">
        <v>142</v>
      </c>
      <c r="C13" s="5"/>
      <c r="D13" s="22">
        <f t="shared" ref="D13:R13" si="2">IFERROR(HLOOKUP(Terminal_Cap_Year-Effective_Hold_Period+D$4,$D$4:$R$10,5,FALSE)/D$12,"")</f>
        <v>35382269.046153843</v>
      </c>
      <c r="E13" s="22">
        <f t="shared" si="2"/>
        <v>35845632.111552164</v>
      </c>
      <c r="F13" s="22">
        <f t="shared" si="2"/>
        <v>36474290.539280787</v>
      </c>
      <c r="G13" s="22">
        <f t="shared" si="2"/>
        <v>36588078.316636212</v>
      </c>
      <c r="H13" s="22">
        <f t="shared" si="2"/>
        <v>36701368.444805019</v>
      </c>
      <c r="I13" s="22">
        <f t="shared" si="2"/>
        <v>36814053.963777684</v>
      </c>
      <c r="J13" s="22">
        <f t="shared" si="2"/>
        <v>36926025.259019867</v>
      </c>
      <c r="K13" s="22">
        <f t="shared" si="2"/>
        <v>37037169.951610386</v>
      </c>
      <c r="L13" s="22">
        <f t="shared" si="2"/>
        <v>37147372.786492184</v>
      </c>
      <c r="M13" s="22">
        <f t="shared" si="2"/>
        <v>37256515.518725894</v>
      </c>
      <c r="N13" s="22">
        <f t="shared" si="2"/>
        <v>37364476.79763487</v>
      </c>
      <c r="O13" s="22">
        <f t="shared" si="2"/>
        <v>37471132.0487305</v>
      </c>
      <c r="P13" s="22">
        <f t="shared" si="2"/>
        <v>37576353.353306934</v>
      </c>
      <c r="Q13" s="22">
        <f t="shared" si="2"/>
        <v>37680009.325593397</v>
      </c>
      <c r="R13" s="22">
        <f t="shared" si="2"/>
        <v>37781964.987351075</v>
      </c>
      <c r="S13" s="6"/>
    </row>
    <row r="14" spans="2:25" x14ac:dyDescent="0.2">
      <c r="B14" s="4" t="str">
        <f>"Net Sales Price Per "&amp;'Property Summary'!$I$26</f>
        <v>Net Sales Price Per SQFT</v>
      </c>
      <c r="C14" s="5"/>
      <c r="D14" s="123">
        <f>IFERROR(IF(OR(D$4="",D$4=0),"",D13/'Property Summary'!$I$27),"")</f>
        <v>565.93520547271021</v>
      </c>
      <c r="E14" s="123">
        <f>IFERROR(IF(OR(E$4="",E$4=0),"",E13/'Property Summary'!$I$27),"")</f>
        <v>573.3466428591197</v>
      </c>
      <c r="F14" s="123">
        <f>IFERROR(IF(OR(F$4="",F$4=0),"",F13/'Property Summary'!$I$27),"")</f>
        <v>583.4019600012922</v>
      </c>
      <c r="G14" s="123">
        <f>IFERROR(IF(OR(G$4="",G$4=0),"",G13/'Property Summary'!$I$27),"")</f>
        <v>585.2219820319292</v>
      </c>
      <c r="H14" s="123">
        <f>IFERROR(IF(OR(H$4="",H$4=0),"",H13/'Property Summary'!$I$27),"")</f>
        <v>587.03404422272899</v>
      </c>
      <c r="I14" s="123">
        <f>IFERROR(IF(OR(I$4="",I$4=0),"",I13/'Property Summary'!$I$27),"")</f>
        <v>588.83643576099939</v>
      </c>
      <c r="J14" s="123">
        <f>IFERROR(IF(OR(J$4="",J$4=0),"",J13/'Property Summary'!$I$27),"")</f>
        <v>590.6274033752378</v>
      </c>
      <c r="K14" s="123">
        <f>IFERROR(IF(OR(K$4="",K$4=0),"",K13/'Property Summary'!$I$27),"")</f>
        <v>592.40514957790128</v>
      </c>
      <c r="L14" s="123">
        <f>IFERROR(IF(OR(L$4="",L$4=0),"",L13/'Property Summary'!$I$27),"")</f>
        <v>594.16783087799399</v>
      </c>
      <c r="M14" s="123">
        <f>IFERROR(IF(OR(M$4="",M$4=0),"",M13/'Property Summary'!$I$27),"")</f>
        <v>595.91355596170661</v>
      </c>
      <c r="N14" s="123">
        <f>IFERROR(IF(OR(N$4="",N$4=0),"",N13/'Property Summary'!$I$27),"")</f>
        <v>597.64038383932939</v>
      </c>
      <c r="O14" s="123">
        <f>IFERROR(IF(OR(O$4="",O$4=0),"",O13/'Property Summary'!$I$27),"")</f>
        <v>599.34632195666188</v>
      </c>
      <c r="P14" s="123">
        <f>IFERROR(IF(OR(P$4="",P$4=0),"",P13/'Property Summary'!$I$27),"")</f>
        <v>601.02932426914481</v>
      </c>
      <c r="Q14" s="123">
        <f>IFERROR(IF(OR(Q$4="",Q$4=0),"",Q13/'Property Summary'!$I$27),"")</f>
        <v>602.68728927692575</v>
      </c>
      <c r="R14" s="123">
        <f>IFERROR(IF(OR(R$4="",R$4=0),"",R13/'Property Summary'!$I$27),"")</f>
        <v>604.31805801905114</v>
      </c>
      <c r="S14" s="6"/>
    </row>
    <row r="15" spans="2:25" x14ac:dyDescent="0.2"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6"/>
    </row>
    <row r="16" spans="2:25" x14ac:dyDescent="0.2">
      <c r="B16" s="4" t="s">
        <v>144</v>
      </c>
      <c r="C16" s="5"/>
      <c r="D16" s="22">
        <f t="shared" ref="D16:R16" si="3">IF(D$4&gt;Analysis_Period,"",D$10)</f>
        <v>1852647.4879999999</v>
      </c>
      <c r="E16" s="22">
        <f t="shared" si="3"/>
        <v>2032346.9033066668</v>
      </c>
      <c r="F16" s="22">
        <f t="shared" si="3"/>
        <v>2288952.1855925322</v>
      </c>
      <c r="G16" s="22">
        <f t="shared" si="3"/>
        <v>2311878.5945063084</v>
      </c>
      <c r="H16" s="22">
        <f t="shared" si="3"/>
        <v>2334815.1311371862</v>
      </c>
      <c r="I16" s="22">
        <f t="shared" si="3"/>
        <v>2357752.1037321049</v>
      </c>
      <c r="J16" s="22">
        <f t="shared" si="3"/>
        <v>2380679.3836225397</v>
      </c>
      <c r="K16" s="22">
        <f t="shared" si="3"/>
        <v>2403586.3900134326</v>
      </c>
      <c r="L16" s="22">
        <f t="shared" si="3"/>
        <v>2426462.0742863612</v>
      </c>
      <c r="M16" s="22">
        <f t="shared" si="3"/>
        <v>2449294.9038020289</v>
      </c>
      <c r="N16" s="22">
        <f t="shared" si="3"/>
        <v>2472072.8451866372</v>
      </c>
      <c r="O16" s="22">
        <f t="shared" si="3"/>
        <v>2494783.347086261</v>
      </c>
      <c r="P16" s="22">
        <f t="shared" si="3"/>
        <v>2517413.322372877</v>
      </c>
      <c r="Q16" s="22">
        <f t="shared" si="3"/>
        <v>2539949.1297851903</v>
      </c>
      <c r="R16" s="22">
        <f t="shared" si="3"/>
        <v>2562376.5549868471</v>
      </c>
      <c r="S16" s="6"/>
      <c r="V16" s="18"/>
      <c r="W16" s="18"/>
      <c r="X16" s="18"/>
      <c r="Y16" s="18"/>
    </row>
    <row r="17" spans="2:25" x14ac:dyDescent="0.2">
      <c r="B17" s="4" t="s">
        <v>145</v>
      </c>
      <c r="C17" s="5"/>
      <c r="D17" s="129">
        <f>IF(D$10="","",D$10/-D$50)</f>
        <v>5.1564425032193578E-2</v>
      </c>
      <c r="E17" s="129">
        <f t="shared" ref="E17:R17" si="4">IF(E$10="","",IF(E$4&gt;Effective_Hold_Period,"",E$10/-E$50))</f>
        <v>5.6565968547043627E-2</v>
      </c>
      <c r="F17" s="129">
        <f t="shared" si="4"/>
        <v>6.3708020085179728E-2</v>
      </c>
      <c r="G17" s="129">
        <f t="shared" si="4"/>
        <v>6.4346126957290639E-2</v>
      </c>
      <c r="H17" s="129">
        <f t="shared" si="4"/>
        <v>6.4984515712443319E-2</v>
      </c>
      <c r="I17" s="129">
        <f t="shared" si="4"/>
        <v>6.5622916601709616E-2</v>
      </c>
      <c r="J17" s="129">
        <f t="shared" si="4"/>
        <v>6.6261047715566956E-2</v>
      </c>
      <c r="K17" s="129">
        <f t="shared" si="4"/>
        <v>6.6898614560531242E-2</v>
      </c>
      <c r="L17" s="129">
        <f t="shared" si="4"/>
        <v>6.7535309622269599E-2</v>
      </c>
      <c r="M17" s="129">
        <f t="shared" si="4"/>
        <v>6.8170811914777765E-2</v>
      </c>
      <c r="N17" s="129">
        <f t="shared" si="4"/>
        <v>6.8804786515192604E-2</v>
      </c>
      <c r="O17" s="129">
        <f t="shared" si="4"/>
        <v>6.9436884083797418E-2</v>
      </c>
      <c r="P17" s="129">
        <f t="shared" si="4"/>
        <v>7.0066740368765493E-2</v>
      </c>
      <c r="Q17" s="129">
        <f t="shared" si="4"/>
        <v>7.0693975695172162E-2</v>
      </c>
      <c r="R17" s="129">
        <f t="shared" si="4"/>
        <v>7.131819443779136E-2</v>
      </c>
      <c r="S17" s="6"/>
      <c r="V17" s="18"/>
      <c r="W17" s="18"/>
      <c r="X17" s="18"/>
      <c r="Y17" s="18"/>
    </row>
    <row r="18" spans="2:25" x14ac:dyDescent="0.2">
      <c r="B18" s="128" t="s">
        <v>20</v>
      </c>
      <c r="C18" s="5"/>
      <c r="D18" s="17">
        <f>IF(D17="","",AVERAGE($D$17:D$17))</f>
        <v>5.1564425032193578E-2</v>
      </c>
      <c r="E18" s="17">
        <f>IF(E17="","",AVERAGE($D$17:E$17))</f>
        <v>5.4065196789618603E-2</v>
      </c>
      <c r="F18" s="17">
        <f>IF(F17="","",AVERAGE($D$17:F$17))</f>
        <v>5.7279471221472311E-2</v>
      </c>
      <c r="G18" s="17">
        <f>IF(G17="","",AVERAGE($D$17:G$17))</f>
        <v>5.9046135155426893E-2</v>
      </c>
      <c r="H18" s="17">
        <f>IF(H17="","",AVERAGE($D$17:H$17))</f>
        <v>6.0233811266830181E-2</v>
      </c>
      <c r="I18" s="17">
        <f>IF(I17="","",AVERAGE($D$17:I$17))</f>
        <v>6.1131995489310087E-2</v>
      </c>
      <c r="J18" s="17">
        <f>IF(J17="","",AVERAGE($D$17:J$17))</f>
        <v>6.1864717235918208E-2</v>
      </c>
      <c r="K18" s="17">
        <f>IF(K17="","",AVERAGE($D$17:K$17))</f>
        <v>6.2493954401494842E-2</v>
      </c>
      <c r="L18" s="17">
        <f>IF(L17="","",AVERAGE($D$17:L$17))</f>
        <v>6.3054104981580927E-2</v>
      </c>
      <c r="M18" s="17">
        <f>IF(M17="","",AVERAGE($D$17:M$17))</f>
        <v>6.3565775674900613E-2</v>
      </c>
      <c r="N18" s="5">
        <f>IF(N17="","",AVERAGE($D$17:N$17))</f>
        <v>6.404204938765444E-2</v>
      </c>
      <c r="O18" s="5">
        <f>IF(O17="","",AVERAGE($D$17:O$17))</f>
        <v>6.4491618945666351E-2</v>
      </c>
      <c r="P18" s="5">
        <f>IF(P17="","",AVERAGE($D$17:P$17))</f>
        <v>6.4920474439750894E-2</v>
      </c>
      <c r="Q18" s="5">
        <f>IF(Q17="","",AVERAGE($D$17:Q$17))</f>
        <v>6.5332867386566712E-2</v>
      </c>
      <c r="R18" s="5">
        <f>IF(R17="","",AVERAGE($D$17:R$17))</f>
        <v>6.5731889189981685E-2</v>
      </c>
      <c r="S18" s="6"/>
    </row>
    <row r="19" spans="2:25" x14ac:dyDescent="0.2">
      <c r="B19" s="4" t="s">
        <v>146</v>
      </c>
      <c r="C19" s="5"/>
      <c r="D19" s="22">
        <f t="shared" ref="D19:R19" si="5">IF(D4=Analysis_Period,D$13+D$16,D$16)</f>
        <v>1852647.4879999999</v>
      </c>
      <c r="E19" s="22">
        <f t="shared" si="5"/>
        <v>2032346.9033066668</v>
      </c>
      <c r="F19" s="22">
        <f t="shared" si="5"/>
        <v>2288952.1855925322</v>
      </c>
      <c r="G19" s="22">
        <f t="shared" si="5"/>
        <v>2311878.5945063084</v>
      </c>
      <c r="H19" s="22">
        <f t="shared" si="5"/>
        <v>2334815.1311371862</v>
      </c>
      <c r="I19" s="22">
        <f t="shared" si="5"/>
        <v>2357752.1037321049</v>
      </c>
      <c r="J19" s="22">
        <f t="shared" si="5"/>
        <v>2380679.3836225397</v>
      </c>
      <c r="K19" s="22">
        <f t="shared" si="5"/>
        <v>2403586.3900134326</v>
      </c>
      <c r="L19" s="22">
        <f t="shared" si="5"/>
        <v>2426462.0742863612</v>
      </c>
      <c r="M19" s="22">
        <f t="shared" si="5"/>
        <v>2449294.9038020289</v>
      </c>
      <c r="N19" s="22">
        <f t="shared" si="5"/>
        <v>2472072.8451866372</v>
      </c>
      <c r="O19" s="22">
        <f t="shared" si="5"/>
        <v>2494783.347086261</v>
      </c>
      <c r="P19" s="22">
        <f t="shared" si="5"/>
        <v>2517413.322372877</v>
      </c>
      <c r="Q19" s="22">
        <f t="shared" si="5"/>
        <v>2539949.1297851903</v>
      </c>
      <c r="R19" s="22">
        <f t="shared" si="5"/>
        <v>40344341.542337924</v>
      </c>
      <c r="S19" s="6"/>
    </row>
    <row r="20" spans="2:25" x14ac:dyDescent="0.2"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6"/>
    </row>
    <row r="21" spans="2:25" x14ac:dyDescent="0.2">
      <c r="B21" s="4" t="s">
        <v>31</v>
      </c>
      <c r="C21" s="5"/>
      <c r="D21" s="17">
        <f t="shared" ref="D21:R21" ca="1" si="6">IF(D4&gt;Analysis_Period,"",D49)</f>
        <v>3.6353151175060994E-2</v>
      </c>
      <c r="E21" s="17">
        <f t="shared" ca="1" si="6"/>
        <v>5.2873310331720491E-2</v>
      </c>
      <c r="F21" s="17">
        <f t="shared" ca="1" si="6"/>
        <v>6.1797984411496865E-2</v>
      </c>
      <c r="G21" s="17">
        <f t="shared" ca="1" si="6"/>
        <v>6.2874553859226578E-2</v>
      </c>
      <c r="H21" s="17">
        <f t="shared" ca="1" si="6"/>
        <v>6.3589214392839377E-2</v>
      </c>
      <c r="I21" s="17">
        <f t="shared" ca="1" si="6"/>
        <v>6.4120649778214744E-2</v>
      </c>
      <c r="J21" s="17">
        <f t="shared" ca="1" si="6"/>
        <v>6.4545229254199921E-2</v>
      </c>
      <c r="K21" s="17">
        <f t="shared" ca="1" si="6"/>
        <v>6.4901085093985289E-2</v>
      </c>
      <c r="L21" s="17">
        <f t="shared" ca="1" si="6"/>
        <v>6.5209395967317452E-2</v>
      </c>
      <c r="M21" s="17">
        <f t="shared" ca="1" si="6"/>
        <v>6.5482879865001564E-2</v>
      </c>
      <c r="N21" s="17">
        <f t="shared" ca="1" si="6"/>
        <v>6.5729647728179907E-2</v>
      </c>
      <c r="O21" s="17">
        <f t="shared" ca="1" si="6"/>
        <v>6.5955127611735165E-2</v>
      </c>
      <c r="P21" s="17">
        <f t="shared" ca="1" si="6"/>
        <v>6.6163099583527174E-2</v>
      </c>
      <c r="Q21" s="17">
        <f t="shared" ca="1" si="6"/>
        <v>6.6356286486483729E-2</v>
      </c>
      <c r="R21" s="17">
        <f t="shared" ca="1" si="6"/>
        <v>6.6536708039326653E-2</v>
      </c>
      <c r="S21" s="6"/>
    </row>
    <row r="22" spans="2:25" x14ac:dyDescent="0.2">
      <c r="B22" s="4" t="s">
        <v>147</v>
      </c>
      <c r="C22" s="5"/>
      <c r="D22" s="48">
        <f ca="1">IF(D$48="","",SUMIF(D50:D65,"&gt;0")/-SUMIF(D50:D65,"&lt;0"))</f>
        <v>1.036353151175061</v>
      </c>
      <c r="E22" s="48">
        <f t="shared" ref="E22:O22" ca="1" si="7">IF(E$48="","",SUMIF(E50:E65,"&gt;0")/-SUMIF(E50:E65,"&lt;0"))</f>
        <v>1.1058158257620714</v>
      </c>
      <c r="F22" s="48">
        <f t="shared" ca="1" si="7"/>
        <v>1.1870211898252274</v>
      </c>
      <c r="G22" s="48">
        <f t="shared" ca="1" si="7"/>
        <v>1.2545343527961299</v>
      </c>
      <c r="H22" s="48">
        <f t="shared" ca="1" si="7"/>
        <v>1.3226720535363166</v>
      </c>
      <c r="I22" s="48">
        <f t="shared" ca="1" si="7"/>
        <v>1.3914313271799978</v>
      </c>
      <c r="J22" s="48">
        <f t="shared" ca="1" si="7"/>
        <v>1.4608088530689198</v>
      </c>
      <c r="K22" s="48">
        <f t="shared" ca="1" si="7"/>
        <v>1.5308009391106325</v>
      </c>
      <c r="L22" s="48">
        <f t="shared" ca="1" si="7"/>
        <v>1.6014035056473475</v>
      </c>
      <c r="M22" s="48">
        <f t="shared" ca="1" si="7"/>
        <v>1.6726120688183825</v>
      </c>
      <c r="N22" s="48">
        <f t="shared" ca="1" si="7"/>
        <v>1.7444217233987303</v>
      </c>
      <c r="O22" s="48">
        <f t="shared" ca="1" si="7"/>
        <v>1.8168271250958528</v>
      </c>
      <c r="P22" s="48">
        <f t="shared" ref="P22:R22" ca="1" si="8">IF(P$48="","",SUMIF(P50:P65,"&gt;0")/-SUMIF(P50:P65,"&lt;0"))</f>
        <v>1.8898224722863499</v>
      </c>
      <c r="Q22" s="48">
        <f t="shared" ca="1" si="8"/>
        <v>1.9634014871736647</v>
      </c>
      <c r="R22" s="48">
        <f t="shared" ca="1" si="8"/>
        <v>2.0375573963474567</v>
      </c>
      <c r="S22" s="6"/>
    </row>
    <row r="23" spans="2:25" x14ac:dyDescent="0.2">
      <c r="B23" s="4"/>
      <c r="C23" s="5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6"/>
    </row>
    <row r="24" spans="2:25" x14ac:dyDescent="0.2">
      <c r="B24" s="4" t="s">
        <v>209</v>
      </c>
      <c r="C24" s="5"/>
      <c r="D24" s="17">
        <f>IFERROR(SUM($D$19:D$19)/(SUM($D$19:D$19)+D13),"")</f>
        <v>4.9755650353094073E-2</v>
      </c>
      <c r="E24" s="17">
        <f>IFERROR(SUM($D$19:E$19)/(SUM($D$19:E$19)+E13),"")</f>
        <v>9.7783365963965363E-2</v>
      </c>
      <c r="F24" s="17">
        <f>IFERROR(SUM($D$19:F$19)/(SUM($D$19:F$19)+F13),"")</f>
        <v>0.14476440280709546</v>
      </c>
      <c r="G24" s="17">
        <f>IFERROR(SUM($D$19:G$19)/(SUM($D$19:G$19)+G13),"")</f>
        <v>0.18826470562188671</v>
      </c>
      <c r="H24" s="17">
        <f>IFERROR(SUM($D$19:H$19)/(SUM($D$19:H$19)+H13),"")</f>
        <v>0.22769745193371299</v>
      </c>
      <c r="I24" s="17">
        <f>IFERROR(SUM($D$19:I$19)/(SUM($D$19:I$19)+I13),"")</f>
        <v>0.26360767202161151</v>
      </c>
      <c r="J24" s="17">
        <f>IFERROR(SUM($D$19:J$19)/(SUM($D$19:J$19)+J13),"")</f>
        <v>0.29644742345424191</v>
      </c>
      <c r="K24" s="17">
        <f>IFERROR(SUM($D$19:K$19)/(SUM($D$19:K$19)+K13),"")</f>
        <v>0.32659480565933124</v>
      </c>
      <c r="L24" s="17">
        <f>IFERROR(SUM($D$19:L$19)/(SUM($D$19:L$19)+L13),"")</f>
        <v>0.35436849165933904</v>
      </c>
      <c r="M24" s="17">
        <f>IFERROR(SUM($D$19:M$19)/(SUM($D$19:M$19)+M13),"")</f>
        <v>0.3800389633670806</v>
      </c>
      <c r="N24" s="17">
        <f>IFERROR(SUM($D$19:N$19)/(SUM($D$19:N$19)+N13),"")</f>
        <v>0.40383729107183131</v>
      </c>
      <c r="O24" s="17">
        <f>IFERROR(SUM($D$19:O$19)/(SUM($D$19:O$19)+O13),"")</f>
        <v>0.42596206136407527</v>
      </c>
      <c r="P24" s="17">
        <f>IFERROR(SUM($D$19:P$19)/(SUM($D$19:P$19)+P13),"")</f>
        <v>0.44658489360416603</v>
      </c>
      <c r="Q24" s="17">
        <f>IFERROR(SUM($D$19:Q$19)/(SUM($D$19:Q$19)+Q13),"")</f>
        <v>0.46585486941267207</v>
      </c>
      <c r="R24" s="17">
        <f>IFERROR(SUM($D$19:R$19)/(SUM($D$19:R$19)+R13),"")</f>
        <v>0.6595880195423639</v>
      </c>
      <c r="S24" s="6"/>
    </row>
    <row r="25" spans="2:25" x14ac:dyDescent="0.2">
      <c r="B25" s="4" t="s">
        <v>210</v>
      </c>
      <c r="C25" s="5"/>
      <c r="D25" s="17">
        <f>IFERROR(1-D24,"")</f>
        <v>0.95024434964690596</v>
      </c>
      <c r="E25" s="17">
        <f t="shared" ref="E25:R25" si="9">IFERROR(1-E24,"")</f>
        <v>0.90221663403603469</v>
      </c>
      <c r="F25" s="17">
        <f t="shared" si="9"/>
        <v>0.85523559719290454</v>
      </c>
      <c r="G25" s="17">
        <f t="shared" si="9"/>
        <v>0.81173529437811331</v>
      </c>
      <c r="H25" s="17">
        <f t="shared" si="9"/>
        <v>0.77230254806628706</v>
      </c>
      <c r="I25" s="17">
        <f t="shared" si="9"/>
        <v>0.73639232797838849</v>
      </c>
      <c r="J25" s="17">
        <f t="shared" si="9"/>
        <v>0.70355257654575809</v>
      </c>
      <c r="K25" s="17">
        <f t="shared" si="9"/>
        <v>0.6734051943406687</v>
      </c>
      <c r="L25" s="17">
        <f t="shared" si="9"/>
        <v>0.64563150834066096</v>
      </c>
      <c r="M25" s="17">
        <f t="shared" si="9"/>
        <v>0.61996103663291935</v>
      </c>
      <c r="N25" s="17">
        <f t="shared" si="9"/>
        <v>0.59616270892816869</v>
      </c>
      <c r="O25" s="17">
        <f t="shared" si="9"/>
        <v>0.57403793863592467</v>
      </c>
      <c r="P25" s="17">
        <f t="shared" si="9"/>
        <v>0.55341510639583391</v>
      </c>
      <c r="Q25" s="17">
        <f t="shared" si="9"/>
        <v>0.53414513058732793</v>
      </c>
      <c r="R25" s="17">
        <f t="shared" si="9"/>
        <v>0.3404119804576361</v>
      </c>
      <c r="S25" s="6"/>
    </row>
    <row r="26" spans="2:25" x14ac:dyDescent="0.2"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6"/>
    </row>
    <row r="27" spans="2:25" x14ac:dyDescent="0.2">
      <c r="B27" s="4" t="s">
        <v>148</v>
      </c>
      <c r="C27" s="5"/>
      <c r="D27" s="22">
        <f>Debt!D$6</f>
        <v>1331880.9691817092</v>
      </c>
      <c r="E27" s="22">
        <f>Debt!E$6</f>
        <v>1331880.9691817092</v>
      </c>
      <c r="F27" s="22">
        <f>Debt!F$6</f>
        <v>1331880.9691817092</v>
      </c>
      <c r="G27" s="22">
        <f>Debt!G$6</f>
        <v>1331880.9691817092</v>
      </c>
      <c r="H27" s="22">
        <f>Debt!H$6</f>
        <v>1331880.9691817092</v>
      </c>
      <c r="I27" s="22">
        <f>Debt!I$6</f>
        <v>1331880.9691817092</v>
      </c>
      <c r="J27" s="22">
        <f>Debt!J$6</f>
        <v>1331880.9691817092</v>
      </c>
      <c r="K27" s="22">
        <f>Debt!K$6</f>
        <v>1331880.9691817092</v>
      </c>
      <c r="L27" s="22">
        <f>Debt!L$6</f>
        <v>1331880.9691817092</v>
      </c>
      <c r="M27" s="22">
        <f>Debt!M$6</f>
        <v>1331880.9691817092</v>
      </c>
      <c r="N27" s="22">
        <f>Debt!N$6</f>
        <v>1331880.9691817092</v>
      </c>
      <c r="O27" s="22">
        <f>Debt!O$6</f>
        <v>1331880.9691817092</v>
      </c>
      <c r="P27" s="22">
        <f>Debt!P$6</f>
        <v>1331880.9691817092</v>
      </c>
      <c r="Q27" s="22">
        <f>Debt!Q$6</f>
        <v>1331880.9691817092</v>
      </c>
      <c r="R27" s="22">
        <f>Debt!R$6</f>
        <v>1331880.9691817092</v>
      </c>
      <c r="S27" s="6"/>
    </row>
    <row r="28" spans="2:25" x14ac:dyDescent="0.2">
      <c r="B28" s="4" t="s">
        <v>200</v>
      </c>
      <c r="C28" s="5"/>
      <c r="D28" s="48">
        <f>IFERROR(D$8/D$27,"")</f>
        <v>1.7267665363617268</v>
      </c>
      <c r="E28" s="48">
        <f t="shared" ref="E28:R28" si="10">IFERROR(E$8/E$27,"")</f>
        <v>1.7628368883063026</v>
      </c>
      <c r="F28" s="48">
        <f t="shared" si="10"/>
        <v>1.8074461842273701</v>
      </c>
      <c r="G28" s="48">
        <f t="shared" si="10"/>
        <v>1.826820312292005</v>
      </c>
      <c r="H28" s="48">
        <f t="shared" si="10"/>
        <v>1.8462548401098557</v>
      </c>
      <c r="I28" s="48">
        <f t="shared" si="10"/>
        <v>1.8657437864599227</v>
      </c>
      <c r="J28" s="48">
        <f t="shared" si="10"/>
        <v>1.8852808739778444</v>
      </c>
      <c r="K28" s="48">
        <f t="shared" si="10"/>
        <v>1.9048595185229207</v>
      </c>
      <c r="L28" s="48">
        <f t="shared" si="10"/>
        <v>1.9244728181999169</v>
      </c>
      <c r="M28" s="48">
        <f t="shared" si="10"/>
        <v>1.9441135420249303</v>
      </c>
      <c r="N28" s="48">
        <f t="shared" si="10"/>
        <v>1.9637741182242281</v>
      </c>
      <c r="O28" s="48">
        <f t="shared" si="10"/>
        <v>1.9834466221546336</v>
      </c>
      <c r="P28" s="48">
        <f t="shared" si="10"/>
        <v>2.0031227638337152</v>
      </c>
      <c r="Q28" s="48">
        <f t="shared" si="10"/>
        <v>2.0227938750676513</v>
      </c>
      <c r="R28" s="48">
        <f t="shared" si="10"/>
        <v>2.0424508961642394</v>
      </c>
      <c r="S28" s="6"/>
    </row>
    <row r="29" spans="2:25" x14ac:dyDescent="0.2">
      <c r="B29" s="4" t="s">
        <v>149</v>
      </c>
      <c r="C29" s="5"/>
      <c r="D29" s="17">
        <f>IFERROR(D$8/D$30,"")</f>
        <v>0.12697547635090203</v>
      </c>
      <c r="E29" s="17">
        <f t="shared" ref="E29:R29" si="11">IFERROR(E$8/E$30,"")</f>
        <v>0.12976654528434042</v>
      </c>
      <c r="F29" s="17">
        <f t="shared" si="11"/>
        <v>0.13320353123886169</v>
      </c>
      <c r="G29" s="17">
        <f t="shared" si="11"/>
        <v>0.13479818579583383</v>
      </c>
      <c r="H29" s="17">
        <f t="shared" si="11"/>
        <v>0.13641394701001441</v>
      </c>
      <c r="I29" s="17">
        <f t="shared" si="11"/>
        <v>0.13805187229854637</v>
      </c>
      <c r="J29" s="17">
        <f t="shared" si="11"/>
        <v>0.13971313509438973</v>
      </c>
      <c r="K29" s="17">
        <f t="shared" si="11"/>
        <v>0.14139903770108089</v>
      </c>
      <c r="L29" s="17">
        <f t="shared" si="11"/>
        <v>0.14311102565356407</v>
      </c>
      <c r="M29" s="17">
        <f t="shared" si="11"/>
        <v>0.14485070378867171</v>
      </c>
      <c r="N29" s="17">
        <f t="shared" si="11"/>
        <v>0.14661985426151897</v>
      </c>
      <c r="O29" s="17">
        <f t="shared" si="11"/>
        <v>0.14842045678290861</v>
      </c>
      <c r="P29" s="17">
        <f t="shared" si="11"/>
        <v>0.15025471139911795</v>
      </c>
      <c r="Q29" s="17">
        <f t="shared" si="11"/>
        <v>0.15212506419078514</v>
      </c>
      <c r="R29" s="17">
        <f t="shared" si="11"/>
        <v>0.15403423633405028</v>
      </c>
      <c r="S29" s="6"/>
    </row>
    <row r="30" spans="2:25" x14ac:dyDescent="0.2">
      <c r="B30" s="4" t="s">
        <v>150</v>
      </c>
      <c r="C30" s="5"/>
      <c r="D30" s="22">
        <f>Debt!D$7</f>
        <v>18112532.86141865</v>
      </c>
      <c r="E30" s="22">
        <f>Debt!E$7</f>
        <v>18093175.696109083</v>
      </c>
      <c r="F30" s="22">
        <f>Debt!F$7</f>
        <v>18072367.550645001</v>
      </c>
      <c r="G30" s="22">
        <f>Debt!G$7</f>
        <v>18049999.662024438</v>
      </c>
      <c r="H30" s="22">
        <f>Debt!H$7</f>
        <v>18025955.11455597</v>
      </c>
      <c r="I30" s="22">
        <f>Debt!I$7</f>
        <v>18000108.228746995</v>
      </c>
      <c r="J30" s="22">
        <f>Debt!J$7</f>
        <v>17972323.90438414</v>
      </c>
      <c r="K30" s="22">
        <f>Debt!K$7</f>
        <v>17942456.914372042</v>
      </c>
      <c r="L30" s="22">
        <f>Debt!L$7</f>
        <v>17910351.145639539</v>
      </c>
      <c r="M30" s="22">
        <f>Debt!M$7</f>
        <v>17875838.783145439</v>
      </c>
      <c r="N30" s="22">
        <f>Debt!N$7</f>
        <v>17838739.432718795</v>
      </c>
      <c r="O30" s="22">
        <f>Debt!O$7</f>
        <v>17798859.178148735</v>
      </c>
      <c r="P30" s="22">
        <f>Debt!P$7</f>
        <v>17755989.567595378</v>
      </c>
      <c r="Q30" s="22">
        <f>Debt!Q$7</f>
        <v>17709906.52402382</v>
      </c>
      <c r="R30" s="22">
        <f>Debt!R$7</f>
        <v>17660369.173966147</v>
      </c>
      <c r="S30" s="6"/>
    </row>
    <row r="31" spans="2:25" x14ac:dyDescent="0.2"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6"/>
    </row>
    <row r="32" spans="2:25" x14ac:dyDescent="0.2">
      <c r="B32" s="4" t="s">
        <v>151</v>
      </c>
      <c r="C32" s="5"/>
      <c r="D32" s="22">
        <f>IFERROR(D$13-D$30,"")</f>
        <v>17269736.184735194</v>
      </c>
      <c r="E32" s="22">
        <f t="shared" ref="E32:R32" si="12">IFERROR(E$13-E$30,"")</f>
        <v>17752456.415443081</v>
      </c>
      <c r="F32" s="22">
        <f t="shared" si="12"/>
        <v>18401922.988635786</v>
      </c>
      <c r="G32" s="22">
        <f t="shared" si="12"/>
        <v>18538078.654611774</v>
      </c>
      <c r="H32" s="22">
        <f t="shared" si="12"/>
        <v>18675413.330249049</v>
      </c>
      <c r="I32" s="22">
        <f t="shared" si="12"/>
        <v>18813945.735030688</v>
      </c>
      <c r="J32" s="22">
        <f t="shared" si="12"/>
        <v>18953701.354635727</v>
      </c>
      <c r="K32" s="22">
        <f t="shared" si="12"/>
        <v>19094713.037238345</v>
      </c>
      <c r="L32" s="22">
        <f t="shared" si="12"/>
        <v>19237021.640852645</v>
      </c>
      <c r="M32" s="22">
        <f t="shared" si="12"/>
        <v>19380676.735580456</v>
      </c>
      <c r="N32" s="22">
        <f t="shared" si="12"/>
        <v>19525737.364916075</v>
      </c>
      <c r="O32" s="22">
        <f t="shared" si="12"/>
        <v>19672272.870581765</v>
      </c>
      <c r="P32" s="22">
        <f t="shared" si="12"/>
        <v>19820363.785711557</v>
      </c>
      <c r="Q32" s="22">
        <f t="shared" si="12"/>
        <v>19970102.801569577</v>
      </c>
      <c r="R32" s="22">
        <f t="shared" si="12"/>
        <v>20121595.813384928</v>
      </c>
      <c r="S32" s="6"/>
    </row>
    <row r="33" spans="2:19" x14ac:dyDescent="0.2">
      <c r="B33" s="128" t="s">
        <v>152</v>
      </c>
      <c r="C33" s="5"/>
      <c r="D33" s="22">
        <f ca="1">IFERROR(D$32-(-D71),"")</f>
        <v>18311269.222371776</v>
      </c>
      <c r="E33" s="22">
        <f t="shared" ref="E33:O33" ca="1" si="13">IFERROR(E$32-(-E71),"")</f>
        <v>35022192.600178272</v>
      </c>
      <c r="F33" s="22">
        <f t="shared" ca="1" si="13"/>
        <v>35671659.17337098</v>
      </c>
      <c r="G33" s="22">
        <f t="shared" ca="1" si="13"/>
        <v>35807814.839346968</v>
      </c>
      <c r="H33" s="22">
        <f t="shared" ca="1" si="13"/>
        <v>35945149.514984243</v>
      </c>
      <c r="I33" s="22">
        <f t="shared" ca="1" si="13"/>
        <v>36083681.919765882</v>
      </c>
      <c r="J33" s="22">
        <f t="shared" ca="1" si="13"/>
        <v>36223437.539370924</v>
      </c>
      <c r="K33" s="22">
        <f t="shared" ca="1" si="13"/>
        <v>36364449.221973538</v>
      </c>
      <c r="L33" s="22">
        <f t="shared" ca="1" si="13"/>
        <v>36506757.825587839</v>
      </c>
      <c r="M33" s="22">
        <f t="shared" ca="1" si="13"/>
        <v>36650412.920315653</v>
      </c>
      <c r="N33" s="22">
        <f t="shared" ca="1" si="13"/>
        <v>36795473.549651265</v>
      </c>
      <c r="O33" s="22">
        <f t="shared" ca="1" si="13"/>
        <v>36942009.055316955</v>
      </c>
      <c r="P33" s="22">
        <f t="shared" ref="P33:R33" ca="1" si="14">IFERROR(P$32-(-P71),"")</f>
        <v>37090099.970446751</v>
      </c>
      <c r="Q33" s="22">
        <f t="shared" ca="1" si="14"/>
        <v>37239838.986304775</v>
      </c>
      <c r="R33" s="22">
        <f t="shared" ca="1" si="14"/>
        <v>37391331.998120122</v>
      </c>
      <c r="S33" s="6"/>
    </row>
    <row r="34" spans="2:19" x14ac:dyDescent="0.2">
      <c r="B34" s="4"/>
      <c r="C34" s="5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6"/>
    </row>
    <row r="35" spans="2:19" x14ac:dyDescent="0.2">
      <c r="B35" s="4" t="s">
        <v>153</v>
      </c>
      <c r="C35" s="5"/>
      <c r="D35" s="22">
        <f>IFERROR(D$10-D$27,"")</f>
        <v>520766.51881829067</v>
      </c>
      <c r="E35" s="22">
        <f t="shared" ref="E35:R35" si="15">IFERROR(E$10-E$27,"")</f>
        <v>700465.93412495754</v>
      </c>
      <c r="F35" s="22">
        <f t="shared" si="15"/>
        <v>957071.21641082293</v>
      </c>
      <c r="G35" s="22">
        <f t="shared" si="15"/>
        <v>979997.62532459921</v>
      </c>
      <c r="H35" s="22">
        <f t="shared" si="15"/>
        <v>1002934.161955477</v>
      </c>
      <c r="I35" s="22">
        <f t="shared" si="15"/>
        <v>1025871.1345503957</v>
      </c>
      <c r="J35" s="22">
        <f t="shared" si="15"/>
        <v>1048798.4144408305</v>
      </c>
      <c r="K35" s="22">
        <f t="shared" si="15"/>
        <v>1071705.4208317234</v>
      </c>
      <c r="L35" s="22">
        <f t="shared" si="15"/>
        <v>1094581.105104652</v>
      </c>
      <c r="M35" s="22">
        <f t="shared" si="15"/>
        <v>1117413.9346203196</v>
      </c>
      <c r="N35" s="22">
        <f t="shared" si="15"/>
        <v>1140191.876004928</v>
      </c>
      <c r="O35" s="22">
        <f t="shared" si="15"/>
        <v>1162902.3779045518</v>
      </c>
      <c r="P35" s="22">
        <f t="shared" si="15"/>
        <v>1185532.3531911678</v>
      </c>
      <c r="Q35" s="22">
        <f t="shared" si="15"/>
        <v>1208068.1606034811</v>
      </c>
      <c r="R35" s="22">
        <f t="shared" si="15"/>
        <v>1230495.5858051379</v>
      </c>
      <c r="S35" s="6"/>
    </row>
    <row r="36" spans="2:19" x14ac:dyDescent="0.2">
      <c r="B36" s="4" t="s">
        <v>154</v>
      </c>
      <c r="C36" s="5"/>
      <c r="D36" s="17">
        <f>IF(D35="","",D35/(-D70))</f>
        <v>2.6490260733997181E-2</v>
      </c>
      <c r="E36" s="17">
        <f t="shared" ref="E36:O36" si="16">IF(E35="","",E35/(-E70))</f>
        <v>3.563117934762533E-2</v>
      </c>
      <c r="F36" s="17">
        <f t="shared" si="16"/>
        <v>4.8684132231190731E-2</v>
      </c>
      <c r="G36" s="17">
        <f t="shared" si="16"/>
        <v>4.9850348813620604E-2</v>
      </c>
      <c r="H36" s="17">
        <f t="shared" si="16"/>
        <v>5.1017080571003105E-2</v>
      </c>
      <c r="I36" s="17">
        <f t="shared" si="16"/>
        <v>5.2183834504928632E-2</v>
      </c>
      <c r="J36" s="17">
        <f t="shared" si="16"/>
        <v>5.3350095392047742E-2</v>
      </c>
      <c r="K36" s="17">
        <f t="shared" si="16"/>
        <v>5.4515325010317084E-2</v>
      </c>
      <c r="L36" s="17">
        <f t="shared" si="16"/>
        <v>5.5678961340535772E-2</v>
      </c>
      <c r="M36" s="17">
        <f t="shared" si="16"/>
        <v>5.6840417742413232E-2</v>
      </c>
      <c r="N36" s="17">
        <f t="shared" si="16"/>
        <v>5.7999082104383329E-2</v>
      </c>
      <c r="O36" s="17">
        <f t="shared" si="16"/>
        <v>5.9154315966356869E-2</v>
      </c>
      <c r="P36" s="17">
        <f t="shared" ref="P36" si="17">IF(P35="","",P35/(-P70))</f>
        <v>6.0305453614581034E-2</v>
      </c>
      <c r="Q36" s="17">
        <f t="shared" ref="Q36" si="18">IF(Q35="","",Q35/(-Q70))</f>
        <v>6.1451801147748057E-2</v>
      </c>
      <c r="R36" s="17">
        <f t="shared" ref="R36" si="19">IF(R35="","",R35/(-R70))</f>
        <v>6.2592635513467734E-2</v>
      </c>
      <c r="S36" s="6"/>
    </row>
    <row r="37" spans="2:19" x14ac:dyDescent="0.2">
      <c r="B37" s="128" t="s">
        <v>34</v>
      </c>
      <c r="C37" s="5"/>
      <c r="D37" s="17">
        <f>IF(D36="","",AVERAGE($D$36:D$36))</f>
        <v>2.6490260733997181E-2</v>
      </c>
      <c r="E37" s="17">
        <f>IF(E36="","",AVERAGE($D$36:E$36))</f>
        <v>3.1060720040811257E-2</v>
      </c>
      <c r="F37" s="17">
        <f>IF(F36="","",AVERAGE($D$36:F$36))</f>
        <v>3.6935190770937744E-2</v>
      </c>
      <c r="G37" s="17">
        <f>IF(G36="","",AVERAGE($D$36:G$36))</f>
        <v>4.0163980281608461E-2</v>
      </c>
      <c r="H37" s="17">
        <f>IF(H36="","",AVERAGE($D$36:H$36))</f>
        <v>4.233460033948739E-2</v>
      </c>
      <c r="I37" s="17">
        <f>IF(I36="","",AVERAGE($D$36:I$36))</f>
        <v>4.3976139367060928E-2</v>
      </c>
      <c r="J37" s="17">
        <f>IF(J36="","",AVERAGE($D$36:J$36))</f>
        <v>4.5315275942059037E-2</v>
      </c>
      <c r="K37" s="17">
        <f>IF(K36="","",AVERAGE($D$36:K$36))</f>
        <v>4.6465282075591294E-2</v>
      </c>
      <c r="L37" s="17">
        <f>IF(L36="","",AVERAGE($D$36:L$36))</f>
        <v>4.7489024216140679E-2</v>
      </c>
      <c r="M37" s="17">
        <f>IF(M36="","",AVERAGE($D$36:M$36))</f>
        <v>4.8424163568767935E-2</v>
      </c>
      <c r="N37" s="17">
        <f>IF(N36="","",AVERAGE($D$36:N$36))</f>
        <v>4.9294610708369338E-2</v>
      </c>
      <c r="O37" s="17">
        <f>IF(O36="","",AVERAGE($D$36:O$36))</f>
        <v>5.0116252813201638E-2</v>
      </c>
      <c r="P37" s="17">
        <f>IF(P36="","",AVERAGE($D$36:P$36))</f>
        <v>5.0900037490230823E-2</v>
      </c>
      <c r="Q37" s="17">
        <f>IF(Q36="","",AVERAGE($D$36:Q$36))</f>
        <v>5.16537348943392E-2</v>
      </c>
      <c r="R37" s="17">
        <f>IF(R36="","",AVERAGE($D$36:R$36))</f>
        <v>5.2382994935614428E-2</v>
      </c>
      <c r="S37" s="6"/>
    </row>
    <row r="38" spans="2:19" x14ac:dyDescent="0.2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6"/>
    </row>
    <row r="39" spans="2:19" x14ac:dyDescent="0.2">
      <c r="B39" s="4" t="s">
        <v>32</v>
      </c>
      <c r="C39" s="5"/>
      <c r="D39" s="17">
        <f ca="1">D$69</f>
        <v>-0.94701947853200563</v>
      </c>
      <c r="E39" s="17">
        <f t="shared" ref="E39:R39" ca="1" si="20">E$69</f>
        <v>-4.6767434499632832E-2</v>
      </c>
      <c r="F39" s="17">
        <f t="shared" ca="1" si="20"/>
        <v>0.51634898100999882</v>
      </c>
      <c r="G39" s="17">
        <f t="shared" ca="1" si="20"/>
        <v>0.73145868104135925</v>
      </c>
      <c r="H39" s="17">
        <f t="shared" ca="1" si="20"/>
        <v>0.82159012884910321</v>
      </c>
      <c r="I39" s="17">
        <f t="shared" ca="1" si="20"/>
        <v>0.86261375188297507</v>
      </c>
      <c r="J39" s="17">
        <f t="shared" ca="1" si="20"/>
        <v>0.88234595448831032</v>
      </c>
      <c r="K39" s="17">
        <f t="shared" ca="1" si="20"/>
        <v>0.89218104745327054</v>
      </c>
      <c r="L39" s="17">
        <f t="shared" ca="1" si="20"/>
        <v>0.89719566926648264</v>
      </c>
      <c r="M39" s="17">
        <f t="shared" ca="1" si="20"/>
        <v>0.89978938626940042</v>
      </c>
      <c r="N39" s="17">
        <f t="shared" ca="1" si="20"/>
        <v>0.90114300580523321</v>
      </c>
      <c r="O39" s="17">
        <f t="shared" ca="1" si="20"/>
        <v>0.90185335913099274</v>
      </c>
      <c r="P39" s="17">
        <f t="shared" ca="1" si="20"/>
        <v>0.9022274030954518</v>
      </c>
      <c r="Q39" s="17">
        <f t="shared" ca="1" si="20"/>
        <v>0.9024247650358066</v>
      </c>
      <c r="R39" s="17">
        <f t="shared" ca="1" si="20"/>
        <v>0.90252903139175489</v>
      </c>
      <c r="S39" s="6"/>
    </row>
    <row r="40" spans="2:19" x14ac:dyDescent="0.2">
      <c r="B40" s="4" t="s">
        <v>33</v>
      </c>
      <c r="C40" s="5"/>
      <c r="D40" s="48">
        <f ca="1">IF(D$48="","",SUMIF(D$70:D$85,"&gt;0")/-SUMIF(D$70:D$85,"&lt;0"))</f>
        <v>5.2980521467994361E-2</v>
      </c>
      <c r="E40" s="48">
        <f t="shared" ref="E40:R40" ca="1" si="21">IF(E$48="","",SUMIF(E$70:E$85,"&gt;0")/-SUMIF(E$70:E$85,"&lt;0"))</f>
        <v>0.94973629626535749</v>
      </c>
      <c r="F40" s="48">
        <f t="shared" ca="1" si="21"/>
        <v>1.8788710683680694</v>
      </c>
      <c r="G40" s="48">
        <f t="shared" ca="1" si="21"/>
        <v>2.8172693205914512</v>
      </c>
      <c r="H40" s="48">
        <f t="shared" ca="1" si="21"/>
        <v>3.7625945459083301</v>
      </c>
      <c r="I40" s="48">
        <f t="shared" ca="1" si="21"/>
        <v>4.7149057319803429</v>
      </c>
      <c r="J40" s="48">
        <f t="shared" ca="1" si="21"/>
        <v>5.6742627742386595</v>
      </c>
      <c r="K40" s="48">
        <f t="shared" ca="1" si="21"/>
        <v>6.6407268185181492</v>
      </c>
      <c r="L40" s="48">
        <f t="shared" ca="1" si="21"/>
        <v>7.6143606339745808</v>
      </c>
      <c r="M40" s="48">
        <f t="shared" ca="1" si="21"/>
        <v>8.5952290188799001</v>
      </c>
      <c r="N40" s="48">
        <f t="shared" ca="1" si="21"/>
        <v>9.5833992420868253</v>
      </c>
      <c r="O40" s="48">
        <f t="shared" ca="1" si="21"/>
        <v>10.578941523165227</v>
      </c>
      <c r="P40" s="48">
        <f t="shared" ca="1" si="21"/>
        <v>11.581929554440324</v>
      </c>
      <c r="Q40" s="48">
        <f t="shared" ca="1" si="21"/>
        <v>12.59244106840768</v>
      </c>
      <c r="R40" s="48">
        <f t="shared" ca="1" si="21"/>
        <v>13.610558454263808</v>
      </c>
      <c r="S40" s="6"/>
    </row>
    <row r="41" spans="2:19" x14ac:dyDescent="0.2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6"/>
    </row>
    <row r="42" spans="2:19" x14ac:dyDescent="0.2">
      <c r="B42" s="7" t="s">
        <v>155</v>
      </c>
      <c r="C42" s="8"/>
      <c r="D42" s="116">
        <f t="shared" ref="D42:R42" si="22">IF(D$4=Effective_Hold_Period,D$32+D$35,D$35)</f>
        <v>520766.51881829067</v>
      </c>
      <c r="E42" s="116">
        <f t="shared" si="22"/>
        <v>700465.93412495754</v>
      </c>
      <c r="F42" s="116">
        <f t="shared" si="22"/>
        <v>957071.21641082293</v>
      </c>
      <c r="G42" s="116">
        <f t="shared" si="22"/>
        <v>979997.62532459921</v>
      </c>
      <c r="H42" s="116">
        <f t="shared" si="22"/>
        <v>1002934.161955477</v>
      </c>
      <c r="I42" s="116">
        <f t="shared" si="22"/>
        <v>1025871.1345503957</v>
      </c>
      <c r="J42" s="116">
        <f t="shared" si="22"/>
        <v>1048798.4144408305</v>
      </c>
      <c r="K42" s="116">
        <f t="shared" si="22"/>
        <v>1071705.4208317234</v>
      </c>
      <c r="L42" s="116">
        <f t="shared" si="22"/>
        <v>1094581.105104652</v>
      </c>
      <c r="M42" s="116">
        <f t="shared" si="22"/>
        <v>1117413.9346203196</v>
      </c>
      <c r="N42" s="116">
        <f t="shared" si="22"/>
        <v>1140191.876004928</v>
      </c>
      <c r="O42" s="116">
        <f t="shared" si="22"/>
        <v>1162902.3779045518</v>
      </c>
      <c r="P42" s="116">
        <f t="shared" si="22"/>
        <v>1185532.3531911678</v>
      </c>
      <c r="Q42" s="116">
        <f t="shared" si="22"/>
        <v>1208068.1606034811</v>
      </c>
      <c r="R42" s="116">
        <f t="shared" si="22"/>
        <v>21352091.399190065</v>
      </c>
      <c r="S42" s="9"/>
    </row>
    <row r="46" spans="2:19" x14ac:dyDescent="0.2">
      <c r="B46" s="32" t="s">
        <v>157</v>
      </c>
    </row>
    <row r="47" spans="2:19" x14ac:dyDescent="0.2">
      <c r="B47" s="31" t="s">
        <v>158</v>
      </c>
    </row>
    <row r="48" spans="2:19" x14ac:dyDescent="0.2">
      <c r="C48" s="20" t="s">
        <v>87</v>
      </c>
      <c r="D48" s="170">
        <f t="shared" ref="D48:R48" si="23">IF(OR(D$13="",D$13=0),"",D$4)</f>
        <v>1</v>
      </c>
      <c r="E48" s="170">
        <f t="shared" si="23"/>
        <v>2</v>
      </c>
      <c r="F48" s="170">
        <f t="shared" si="23"/>
        <v>3</v>
      </c>
      <c r="G48" s="170">
        <f t="shared" si="23"/>
        <v>4</v>
      </c>
      <c r="H48" s="170">
        <f t="shared" si="23"/>
        <v>5</v>
      </c>
      <c r="I48" s="170">
        <f t="shared" si="23"/>
        <v>6</v>
      </c>
      <c r="J48" s="170">
        <f t="shared" si="23"/>
        <v>7</v>
      </c>
      <c r="K48" s="170">
        <f t="shared" si="23"/>
        <v>8</v>
      </c>
      <c r="L48" s="170">
        <f t="shared" si="23"/>
        <v>9</v>
      </c>
      <c r="M48" s="170">
        <f t="shared" si="23"/>
        <v>10</v>
      </c>
      <c r="N48" s="170">
        <f t="shared" si="23"/>
        <v>11</v>
      </c>
      <c r="O48" s="170">
        <f t="shared" si="23"/>
        <v>12</v>
      </c>
      <c r="P48" s="170">
        <f t="shared" si="23"/>
        <v>13</v>
      </c>
      <c r="Q48" s="170">
        <f t="shared" si="23"/>
        <v>14</v>
      </c>
      <c r="R48" s="163">
        <f t="shared" si="23"/>
        <v>15</v>
      </c>
    </row>
    <row r="49" spans="3:18" x14ac:dyDescent="0.2">
      <c r="C49" s="65" t="s">
        <v>56</v>
      </c>
      <c r="D49" s="171">
        <f ca="1">IF(OR(D$48="",D$48=0),"",IF(AND(MIN(D$50:D$65)&lt;0,MAX(D$50:D$65)&gt;0),IRR(D$50:D$65)))</f>
        <v>3.6353151175060994E-2</v>
      </c>
      <c r="E49" s="171">
        <f t="shared" ref="E49:R49" ca="1" si="24">IF(OR(E$48="",E$48=0),"",IF(AND(MIN(E$50:E$65)&lt;0,MAX(E$50:E$65)&gt;0),IRR(E$50:E$65)))</f>
        <v>5.2873310331720491E-2</v>
      </c>
      <c r="F49" s="171">
        <f t="shared" ca="1" si="24"/>
        <v>6.1797984411496865E-2</v>
      </c>
      <c r="G49" s="171">
        <f t="shared" ca="1" si="24"/>
        <v>6.2874553859226578E-2</v>
      </c>
      <c r="H49" s="171">
        <f t="shared" ca="1" si="24"/>
        <v>6.3589214392839377E-2</v>
      </c>
      <c r="I49" s="171">
        <f t="shared" ca="1" si="24"/>
        <v>6.4120649778214744E-2</v>
      </c>
      <c r="J49" s="171">
        <f t="shared" ca="1" si="24"/>
        <v>6.4545229254199921E-2</v>
      </c>
      <c r="K49" s="171">
        <f t="shared" ca="1" si="24"/>
        <v>6.4901085093985289E-2</v>
      </c>
      <c r="L49" s="171">
        <f t="shared" ca="1" si="24"/>
        <v>6.5209395967317452E-2</v>
      </c>
      <c r="M49" s="171">
        <f t="shared" ca="1" si="24"/>
        <v>6.5482879865001564E-2</v>
      </c>
      <c r="N49" s="171">
        <f t="shared" ca="1" si="24"/>
        <v>6.5729647728179907E-2</v>
      </c>
      <c r="O49" s="171">
        <f t="shared" ca="1" si="24"/>
        <v>6.5955127611735165E-2</v>
      </c>
      <c r="P49" s="171">
        <f t="shared" ca="1" si="24"/>
        <v>6.6163099583527174E-2</v>
      </c>
      <c r="Q49" s="171">
        <f t="shared" ca="1" si="24"/>
        <v>6.6356286486483729E-2</v>
      </c>
      <c r="R49" s="172">
        <f t="shared" ca="1" si="24"/>
        <v>6.6536708039326653E-2</v>
      </c>
    </row>
    <row r="50" spans="3:18" x14ac:dyDescent="0.2">
      <c r="C50" s="181">
        <v>0</v>
      </c>
      <c r="D50" s="184">
        <f t="shared" ref="D50:R50" si="25">IF(OR(D$48="",D$48=0),"",-Basis)</f>
        <v>-35928791.736615382</v>
      </c>
      <c r="E50" s="184">
        <f t="shared" si="25"/>
        <v>-35928791.736615382</v>
      </c>
      <c r="F50" s="184">
        <f t="shared" si="25"/>
        <v>-35928791.736615382</v>
      </c>
      <c r="G50" s="184">
        <f t="shared" si="25"/>
        <v>-35928791.736615382</v>
      </c>
      <c r="H50" s="184">
        <f t="shared" si="25"/>
        <v>-35928791.736615382</v>
      </c>
      <c r="I50" s="184">
        <f t="shared" si="25"/>
        <v>-35928791.736615382</v>
      </c>
      <c r="J50" s="184">
        <f t="shared" si="25"/>
        <v>-35928791.736615382</v>
      </c>
      <c r="K50" s="184">
        <f t="shared" si="25"/>
        <v>-35928791.736615382</v>
      </c>
      <c r="L50" s="184">
        <f t="shared" si="25"/>
        <v>-35928791.736615382</v>
      </c>
      <c r="M50" s="184">
        <f t="shared" si="25"/>
        <v>-35928791.736615382</v>
      </c>
      <c r="N50" s="184">
        <f t="shared" si="25"/>
        <v>-35928791.736615382</v>
      </c>
      <c r="O50" s="184">
        <f t="shared" si="25"/>
        <v>-35928791.736615382</v>
      </c>
      <c r="P50" s="184">
        <f t="shared" si="25"/>
        <v>-35928791.736615382</v>
      </c>
      <c r="Q50" s="184">
        <f t="shared" si="25"/>
        <v>-35928791.736615382</v>
      </c>
      <c r="R50" s="185">
        <f t="shared" si="25"/>
        <v>-35928791.736615382</v>
      </c>
    </row>
    <row r="51" spans="3:18" x14ac:dyDescent="0.2">
      <c r="C51" s="182">
        <f t="shared" ref="C51:C65" si="26">C50+1</f>
        <v>1</v>
      </c>
      <c r="D51" s="21">
        <f t="shared" ref="D51:D65" ca="1" si="27">IF($C51&gt;D$48,"",IF(OR(D$48="",D$48=0),"",IF(D$48=$C51,OFFSET($D$16,0,$C50)+OFFSET($D$13,0,$C50),OFFSET($D$16,0,$C50))))</f>
        <v>37234916.534153841</v>
      </c>
      <c r="E51" s="21">
        <f t="shared" ref="E51:E65" ca="1" si="28">IF($C51&gt;E$48,"",IF(OR(E$48="",E$48=0),"",IF(E$48=$C51,OFFSET($D$16,0,$C50)+OFFSET($D$13,0,$C50),OFFSET($D$16,0,$C50))))</f>
        <v>1852647.4879999999</v>
      </c>
      <c r="F51" s="21">
        <f t="shared" ref="F51:F65" ca="1" si="29">IF($C51&gt;F$48,"",IF(OR(F$48="",F$48=0),"",IF(F$48=$C51,OFFSET($D$16,0,$C50)+OFFSET($D$13,0,$C50),OFFSET($D$16,0,$C50))))</f>
        <v>1852647.4879999999</v>
      </c>
      <c r="G51" s="21">
        <f t="shared" ref="G51:G65" ca="1" si="30">IF($C51&gt;G$48,"",IF(OR(G$48="",G$48=0),"",IF(G$48=$C51,OFFSET($D$16,0,$C50)+OFFSET($D$13,0,$C50),OFFSET($D$16,0,$C50))))</f>
        <v>1852647.4879999999</v>
      </c>
      <c r="H51" s="21">
        <f t="shared" ref="H51:H65" ca="1" si="31">IF($C51&gt;H$48,"",IF(OR(H$48="",H$48=0),"",IF(H$48=$C51,OFFSET($D$16,0,$C50)+OFFSET($D$13,0,$C50),OFFSET($D$16,0,$C50))))</f>
        <v>1852647.4879999999</v>
      </c>
      <c r="I51" s="21">
        <f t="shared" ref="I51:I65" ca="1" si="32">IF($C51&gt;I$48,"",IF(OR(I$48="",I$48=0),"",IF(I$48=$C51,OFFSET($D$16,0,$C50)+OFFSET($D$13,0,$C50),OFFSET($D$16,0,$C50))))</f>
        <v>1852647.4879999999</v>
      </c>
      <c r="J51" s="21">
        <f t="shared" ref="J51:J65" ca="1" si="33">IF($C51&gt;J$48,"",IF(OR(J$48="",J$48=0),"",IF(J$48=$C51,OFFSET($D$16,0,$C50)+OFFSET($D$13,0,$C50),OFFSET($D$16,0,$C50))))</f>
        <v>1852647.4879999999</v>
      </c>
      <c r="K51" s="21">
        <f t="shared" ref="K51:K65" ca="1" si="34">IF($C51&gt;K$48,"",IF(OR(K$48="",K$48=0),"",IF(K$48=$C51,OFFSET($D$16,0,$C50)+OFFSET($D$13,0,$C50),OFFSET($D$16,0,$C50))))</f>
        <v>1852647.4879999999</v>
      </c>
      <c r="L51" s="21">
        <f t="shared" ref="L51:L65" ca="1" si="35">IF($C51&gt;L$48,"",IF(OR(L$48="",L$48=0),"",IF(L$48=$C51,OFFSET($D$16,0,$C50)+OFFSET($D$13,0,$C50),OFFSET($D$16,0,$C50))))</f>
        <v>1852647.4879999999</v>
      </c>
      <c r="M51" s="21">
        <f t="shared" ref="M51:M65" ca="1" si="36">IF($C51&gt;M$48,"",IF(OR(M$48="",M$48=0),"",IF(M$48=$C51,OFFSET($D$16,0,$C50)+OFFSET($D$13,0,$C50),OFFSET($D$16,0,$C50))))</f>
        <v>1852647.4879999999</v>
      </c>
      <c r="N51" s="21">
        <f t="shared" ref="N51:N65" ca="1" si="37">IF($C51&gt;N$48,"",IF(OR(N$48="",N$48=0),"",IF(N$48=$C51,OFFSET($D$16,0,$C50)+OFFSET($D$13,0,$C50),OFFSET($D$16,0,$C50))))</f>
        <v>1852647.4879999999</v>
      </c>
      <c r="O51" s="21">
        <f t="shared" ref="O51:O65" ca="1" si="38">IF($C51&gt;O$48,"",IF(OR(O$48="",O$48=0),"",IF(O$48=$C51,OFFSET($D$16,0,$C50)+OFFSET($D$13,0,$C50),OFFSET($D$16,0,$C50))))</f>
        <v>1852647.4879999999</v>
      </c>
      <c r="P51" s="21">
        <f t="shared" ref="P51:P65" ca="1" si="39">IF($C51&gt;P$48,"",IF(OR(P$48="",P$48=0),"",IF(P$48=$C51,OFFSET($D$16,0,$C50)+OFFSET($D$13,0,$C50),OFFSET($D$16,0,$C50))))</f>
        <v>1852647.4879999999</v>
      </c>
      <c r="Q51" s="21">
        <f t="shared" ref="Q51:Q65" ca="1" si="40">IF($C51&gt;Q$48,"",IF(OR(Q$48="",Q$48=0),"",IF(Q$48=$C51,OFFSET($D$16,0,$C50)+OFFSET($D$13,0,$C50),OFFSET($D$16,0,$C50))))</f>
        <v>1852647.4879999999</v>
      </c>
      <c r="R51" s="173">
        <f t="shared" ref="R51:R65" ca="1" si="41">IF($C51&gt;R$48,"",IF(OR(R$48="",R$48=0),"",IF(R$48=$C51,OFFSET($D$16,0,$C50)+OFFSET($D$13,0,$C50),OFFSET($D$16,0,$C50))))</f>
        <v>1852647.4879999999</v>
      </c>
    </row>
    <row r="52" spans="3:18" x14ac:dyDescent="0.2">
      <c r="C52" s="182">
        <f t="shared" si="26"/>
        <v>2</v>
      </c>
      <c r="D52" s="21" t="str">
        <f t="shared" ca="1" si="27"/>
        <v/>
      </c>
      <c r="E52" s="21">
        <f t="shared" ca="1" si="28"/>
        <v>37877979.014858827</v>
      </c>
      <c r="F52" s="21">
        <f t="shared" ca="1" si="29"/>
        <v>2032346.9033066668</v>
      </c>
      <c r="G52" s="21">
        <f t="shared" ca="1" si="30"/>
        <v>2032346.9033066668</v>
      </c>
      <c r="H52" s="21">
        <f t="shared" ca="1" si="31"/>
        <v>2032346.9033066668</v>
      </c>
      <c r="I52" s="21">
        <f t="shared" ca="1" si="32"/>
        <v>2032346.9033066668</v>
      </c>
      <c r="J52" s="21">
        <f t="shared" ca="1" si="33"/>
        <v>2032346.9033066668</v>
      </c>
      <c r="K52" s="21">
        <f t="shared" ca="1" si="34"/>
        <v>2032346.9033066668</v>
      </c>
      <c r="L52" s="21">
        <f t="shared" ca="1" si="35"/>
        <v>2032346.9033066668</v>
      </c>
      <c r="M52" s="21">
        <f t="shared" ca="1" si="36"/>
        <v>2032346.9033066668</v>
      </c>
      <c r="N52" s="21">
        <f t="shared" ca="1" si="37"/>
        <v>2032346.9033066668</v>
      </c>
      <c r="O52" s="21">
        <f t="shared" ca="1" si="38"/>
        <v>2032346.9033066668</v>
      </c>
      <c r="P52" s="21">
        <f t="shared" ca="1" si="39"/>
        <v>2032346.9033066668</v>
      </c>
      <c r="Q52" s="21">
        <f t="shared" ca="1" si="40"/>
        <v>2032346.9033066668</v>
      </c>
      <c r="R52" s="173">
        <f t="shared" ca="1" si="41"/>
        <v>2032346.9033066668</v>
      </c>
    </row>
    <row r="53" spans="3:18" x14ac:dyDescent="0.2">
      <c r="C53" s="182">
        <f t="shared" si="26"/>
        <v>3</v>
      </c>
      <c r="D53" s="21" t="str">
        <f t="shared" ca="1" si="27"/>
        <v/>
      </c>
      <c r="E53" s="21" t="str">
        <f t="shared" ca="1" si="28"/>
        <v/>
      </c>
      <c r="F53" s="21">
        <f t="shared" ca="1" si="29"/>
        <v>38763242.724873319</v>
      </c>
      <c r="G53" s="21">
        <f t="shared" ca="1" si="30"/>
        <v>2288952.1855925322</v>
      </c>
      <c r="H53" s="21">
        <f t="shared" ca="1" si="31"/>
        <v>2288952.1855925322</v>
      </c>
      <c r="I53" s="21">
        <f t="shared" ca="1" si="32"/>
        <v>2288952.1855925322</v>
      </c>
      <c r="J53" s="21">
        <f t="shared" ca="1" si="33"/>
        <v>2288952.1855925322</v>
      </c>
      <c r="K53" s="21">
        <f t="shared" ca="1" si="34"/>
        <v>2288952.1855925322</v>
      </c>
      <c r="L53" s="21">
        <f t="shared" ca="1" si="35"/>
        <v>2288952.1855925322</v>
      </c>
      <c r="M53" s="21">
        <f t="shared" ca="1" si="36"/>
        <v>2288952.1855925322</v>
      </c>
      <c r="N53" s="21">
        <f t="shared" ca="1" si="37"/>
        <v>2288952.1855925322</v>
      </c>
      <c r="O53" s="21">
        <f t="shared" ca="1" si="38"/>
        <v>2288952.1855925322</v>
      </c>
      <c r="P53" s="21">
        <f t="shared" ca="1" si="39"/>
        <v>2288952.1855925322</v>
      </c>
      <c r="Q53" s="21">
        <f t="shared" ca="1" si="40"/>
        <v>2288952.1855925322</v>
      </c>
      <c r="R53" s="173">
        <f t="shared" ca="1" si="41"/>
        <v>2288952.1855925322</v>
      </c>
    </row>
    <row r="54" spans="3:18" x14ac:dyDescent="0.2">
      <c r="C54" s="182">
        <f t="shared" si="26"/>
        <v>4</v>
      </c>
      <c r="D54" s="21" t="str">
        <f t="shared" ca="1" si="27"/>
        <v/>
      </c>
      <c r="E54" s="21" t="str">
        <f t="shared" ca="1" si="28"/>
        <v/>
      </c>
      <c r="F54" s="21" t="str">
        <f t="shared" ca="1" si="29"/>
        <v/>
      </c>
      <c r="G54" s="21">
        <f t="shared" ca="1" si="30"/>
        <v>38899956.911142521</v>
      </c>
      <c r="H54" s="21">
        <f t="shared" ca="1" si="31"/>
        <v>2311878.5945063084</v>
      </c>
      <c r="I54" s="21">
        <f t="shared" ca="1" si="32"/>
        <v>2311878.5945063084</v>
      </c>
      <c r="J54" s="21">
        <f t="shared" ca="1" si="33"/>
        <v>2311878.5945063084</v>
      </c>
      <c r="K54" s="21">
        <f t="shared" ca="1" si="34"/>
        <v>2311878.5945063084</v>
      </c>
      <c r="L54" s="21">
        <f t="shared" ca="1" si="35"/>
        <v>2311878.5945063084</v>
      </c>
      <c r="M54" s="21">
        <f t="shared" ca="1" si="36"/>
        <v>2311878.5945063084</v>
      </c>
      <c r="N54" s="21">
        <f t="shared" ca="1" si="37"/>
        <v>2311878.5945063084</v>
      </c>
      <c r="O54" s="21">
        <f t="shared" ca="1" si="38"/>
        <v>2311878.5945063084</v>
      </c>
      <c r="P54" s="21">
        <f t="shared" ca="1" si="39"/>
        <v>2311878.5945063084</v>
      </c>
      <c r="Q54" s="21">
        <f t="shared" ca="1" si="40"/>
        <v>2311878.5945063084</v>
      </c>
      <c r="R54" s="173">
        <f t="shared" ca="1" si="41"/>
        <v>2311878.5945063084</v>
      </c>
    </row>
    <row r="55" spans="3:18" x14ac:dyDescent="0.2">
      <c r="C55" s="182">
        <f t="shared" si="26"/>
        <v>5</v>
      </c>
      <c r="D55" s="21" t="str">
        <f t="shared" ca="1" si="27"/>
        <v/>
      </c>
      <c r="E55" s="21" t="str">
        <f t="shared" ca="1" si="28"/>
        <v/>
      </c>
      <c r="F55" s="21" t="str">
        <f t="shared" ca="1" si="29"/>
        <v/>
      </c>
      <c r="G55" s="21" t="str">
        <f t="shared" ca="1" si="30"/>
        <v/>
      </c>
      <c r="H55" s="21">
        <f t="shared" ca="1" si="31"/>
        <v>39036183.575942203</v>
      </c>
      <c r="I55" s="21">
        <f t="shared" ca="1" si="32"/>
        <v>2334815.1311371862</v>
      </c>
      <c r="J55" s="21">
        <f t="shared" ca="1" si="33"/>
        <v>2334815.1311371862</v>
      </c>
      <c r="K55" s="21">
        <f t="shared" ca="1" si="34"/>
        <v>2334815.1311371862</v>
      </c>
      <c r="L55" s="21">
        <f t="shared" ca="1" si="35"/>
        <v>2334815.1311371862</v>
      </c>
      <c r="M55" s="21">
        <f t="shared" ca="1" si="36"/>
        <v>2334815.1311371862</v>
      </c>
      <c r="N55" s="21">
        <f t="shared" ca="1" si="37"/>
        <v>2334815.1311371862</v>
      </c>
      <c r="O55" s="21">
        <f t="shared" ca="1" si="38"/>
        <v>2334815.1311371862</v>
      </c>
      <c r="P55" s="21">
        <f t="shared" ca="1" si="39"/>
        <v>2334815.1311371862</v>
      </c>
      <c r="Q55" s="21">
        <f t="shared" ca="1" si="40"/>
        <v>2334815.1311371862</v>
      </c>
      <c r="R55" s="173">
        <f t="shared" ca="1" si="41"/>
        <v>2334815.1311371862</v>
      </c>
    </row>
    <row r="56" spans="3:18" x14ac:dyDescent="0.2">
      <c r="C56" s="182">
        <f t="shared" si="26"/>
        <v>6</v>
      </c>
      <c r="D56" s="21" t="str">
        <f t="shared" ca="1" si="27"/>
        <v/>
      </c>
      <c r="E56" s="21" t="str">
        <f t="shared" ca="1" si="28"/>
        <v/>
      </c>
      <c r="F56" s="21" t="str">
        <f t="shared" ca="1" si="29"/>
        <v/>
      </c>
      <c r="G56" s="21" t="str">
        <f t="shared" ca="1" si="30"/>
        <v/>
      </c>
      <c r="H56" s="21" t="str">
        <f t="shared" ca="1" si="31"/>
        <v/>
      </c>
      <c r="I56" s="21">
        <f t="shared" ca="1" si="32"/>
        <v>39171806.067509785</v>
      </c>
      <c r="J56" s="21">
        <f t="shared" ca="1" si="33"/>
        <v>2357752.1037321049</v>
      </c>
      <c r="K56" s="21">
        <f t="shared" ca="1" si="34"/>
        <v>2357752.1037321049</v>
      </c>
      <c r="L56" s="21">
        <f t="shared" ca="1" si="35"/>
        <v>2357752.1037321049</v>
      </c>
      <c r="M56" s="21">
        <f t="shared" ca="1" si="36"/>
        <v>2357752.1037321049</v>
      </c>
      <c r="N56" s="21">
        <f t="shared" ca="1" si="37"/>
        <v>2357752.1037321049</v>
      </c>
      <c r="O56" s="21">
        <f t="shared" ca="1" si="38"/>
        <v>2357752.1037321049</v>
      </c>
      <c r="P56" s="21">
        <f t="shared" ca="1" si="39"/>
        <v>2357752.1037321049</v>
      </c>
      <c r="Q56" s="21">
        <f t="shared" ca="1" si="40"/>
        <v>2357752.1037321049</v>
      </c>
      <c r="R56" s="173">
        <f t="shared" ca="1" si="41"/>
        <v>2357752.1037321049</v>
      </c>
    </row>
    <row r="57" spans="3:18" x14ac:dyDescent="0.2">
      <c r="C57" s="182">
        <f t="shared" si="26"/>
        <v>7</v>
      </c>
      <c r="D57" s="21" t="str">
        <f t="shared" ca="1" si="27"/>
        <v/>
      </c>
      <c r="E57" s="21" t="str">
        <f t="shared" ca="1" si="28"/>
        <v/>
      </c>
      <c r="F57" s="21" t="str">
        <f t="shared" ca="1" si="29"/>
        <v/>
      </c>
      <c r="G57" s="21" t="str">
        <f t="shared" ca="1" si="30"/>
        <v/>
      </c>
      <c r="H57" s="21" t="str">
        <f t="shared" ca="1" si="31"/>
        <v/>
      </c>
      <c r="I57" s="21" t="str">
        <f t="shared" ca="1" si="32"/>
        <v/>
      </c>
      <c r="J57" s="21">
        <f t="shared" ca="1" si="33"/>
        <v>39306704.642642409</v>
      </c>
      <c r="K57" s="21">
        <f t="shared" ca="1" si="34"/>
        <v>2380679.3836225397</v>
      </c>
      <c r="L57" s="21">
        <f t="shared" ca="1" si="35"/>
        <v>2380679.3836225397</v>
      </c>
      <c r="M57" s="21">
        <f t="shared" ca="1" si="36"/>
        <v>2380679.3836225397</v>
      </c>
      <c r="N57" s="21">
        <f t="shared" ca="1" si="37"/>
        <v>2380679.3836225397</v>
      </c>
      <c r="O57" s="21">
        <f t="shared" ca="1" si="38"/>
        <v>2380679.3836225397</v>
      </c>
      <c r="P57" s="21">
        <f t="shared" ca="1" si="39"/>
        <v>2380679.3836225397</v>
      </c>
      <c r="Q57" s="21">
        <f t="shared" ca="1" si="40"/>
        <v>2380679.3836225397</v>
      </c>
      <c r="R57" s="173">
        <f t="shared" ca="1" si="41"/>
        <v>2380679.3836225397</v>
      </c>
    </row>
    <row r="58" spans="3:18" x14ac:dyDescent="0.2">
      <c r="C58" s="182">
        <f t="shared" si="26"/>
        <v>8</v>
      </c>
      <c r="D58" s="21" t="str">
        <f t="shared" ca="1" si="27"/>
        <v/>
      </c>
      <c r="E58" s="21" t="str">
        <f t="shared" ca="1" si="28"/>
        <v/>
      </c>
      <c r="F58" s="21" t="str">
        <f t="shared" ca="1" si="29"/>
        <v/>
      </c>
      <c r="G58" s="21" t="str">
        <f t="shared" ca="1" si="30"/>
        <v/>
      </c>
      <c r="H58" s="21" t="str">
        <f t="shared" ca="1" si="31"/>
        <v/>
      </c>
      <c r="I58" s="21" t="str">
        <f t="shared" ca="1" si="32"/>
        <v/>
      </c>
      <c r="J58" s="21" t="str">
        <f t="shared" ca="1" si="33"/>
        <v/>
      </c>
      <c r="K58" s="21">
        <f t="shared" ca="1" si="34"/>
        <v>39440756.34162382</v>
      </c>
      <c r="L58" s="21">
        <f t="shared" ca="1" si="35"/>
        <v>2403586.3900134326</v>
      </c>
      <c r="M58" s="21">
        <f t="shared" ca="1" si="36"/>
        <v>2403586.3900134326</v>
      </c>
      <c r="N58" s="21">
        <f t="shared" ca="1" si="37"/>
        <v>2403586.3900134326</v>
      </c>
      <c r="O58" s="21">
        <f t="shared" ca="1" si="38"/>
        <v>2403586.3900134326</v>
      </c>
      <c r="P58" s="21">
        <f t="shared" ca="1" si="39"/>
        <v>2403586.3900134326</v>
      </c>
      <c r="Q58" s="21">
        <f t="shared" ca="1" si="40"/>
        <v>2403586.3900134326</v>
      </c>
      <c r="R58" s="173">
        <f t="shared" ca="1" si="41"/>
        <v>2403586.3900134326</v>
      </c>
    </row>
    <row r="59" spans="3:18" x14ac:dyDescent="0.2">
      <c r="C59" s="182">
        <f t="shared" si="26"/>
        <v>9</v>
      </c>
      <c r="D59" s="21" t="str">
        <f t="shared" ca="1" si="27"/>
        <v/>
      </c>
      <c r="E59" s="21" t="str">
        <f t="shared" ca="1" si="28"/>
        <v/>
      </c>
      <c r="F59" s="21" t="str">
        <f t="shared" ca="1" si="29"/>
        <v/>
      </c>
      <c r="G59" s="21" t="str">
        <f t="shared" ca="1" si="30"/>
        <v/>
      </c>
      <c r="H59" s="21" t="str">
        <f t="shared" ca="1" si="31"/>
        <v/>
      </c>
      <c r="I59" s="21" t="str">
        <f t="shared" ca="1" si="32"/>
        <v/>
      </c>
      <c r="J59" s="21" t="str">
        <f t="shared" ca="1" si="33"/>
        <v/>
      </c>
      <c r="K59" s="21" t="str">
        <f t="shared" ca="1" si="34"/>
        <v/>
      </c>
      <c r="L59" s="21">
        <f t="shared" ca="1" si="35"/>
        <v>39573834.860778548</v>
      </c>
      <c r="M59" s="21">
        <f t="shared" ca="1" si="36"/>
        <v>2426462.0742863612</v>
      </c>
      <c r="N59" s="21">
        <f t="shared" ca="1" si="37"/>
        <v>2426462.0742863612</v>
      </c>
      <c r="O59" s="21">
        <f t="shared" ca="1" si="38"/>
        <v>2426462.0742863612</v>
      </c>
      <c r="P59" s="21">
        <f t="shared" ca="1" si="39"/>
        <v>2426462.0742863612</v>
      </c>
      <c r="Q59" s="21">
        <f t="shared" ca="1" si="40"/>
        <v>2426462.0742863612</v>
      </c>
      <c r="R59" s="173">
        <f t="shared" ca="1" si="41"/>
        <v>2426462.0742863612</v>
      </c>
    </row>
    <row r="60" spans="3:18" x14ac:dyDescent="0.2">
      <c r="C60" s="182">
        <f t="shared" si="26"/>
        <v>10</v>
      </c>
      <c r="D60" s="21" t="str">
        <f t="shared" ca="1" si="27"/>
        <v/>
      </c>
      <c r="E60" s="21" t="str">
        <f t="shared" ca="1" si="28"/>
        <v/>
      </c>
      <c r="F60" s="21" t="str">
        <f t="shared" ca="1" si="29"/>
        <v/>
      </c>
      <c r="G60" s="21" t="str">
        <f t="shared" ca="1" si="30"/>
        <v/>
      </c>
      <c r="H60" s="21" t="str">
        <f t="shared" ca="1" si="31"/>
        <v/>
      </c>
      <c r="I60" s="21" t="str">
        <f t="shared" ca="1" si="32"/>
        <v/>
      </c>
      <c r="J60" s="21" t="str">
        <f t="shared" ca="1" si="33"/>
        <v/>
      </c>
      <c r="K60" s="21" t="str">
        <f t="shared" ca="1" si="34"/>
        <v/>
      </c>
      <c r="L60" s="21" t="str">
        <f t="shared" ca="1" si="35"/>
        <v/>
      </c>
      <c r="M60" s="21">
        <f t="shared" ca="1" si="36"/>
        <v>39705810.422527924</v>
      </c>
      <c r="N60" s="21">
        <f t="shared" ca="1" si="37"/>
        <v>2449294.9038020289</v>
      </c>
      <c r="O60" s="21">
        <f t="shared" ca="1" si="38"/>
        <v>2449294.9038020289</v>
      </c>
      <c r="P60" s="21">
        <f t="shared" ca="1" si="39"/>
        <v>2449294.9038020289</v>
      </c>
      <c r="Q60" s="21">
        <f t="shared" ca="1" si="40"/>
        <v>2449294.9038020289</v>
      </c>
      <c r="R60" s="173">
        <f t="shared" ca="1" si="41"/>
        <v>2449294.9038020289</v>
      </c>
    </row>
    <row r="61" spans="3:18" x14ac:dyDescent="0.2">
      <c r="C61" s="182">
        <f t="shared" si="26"/>
        <v>11</v>
      </c>
      <c r="D61" s="21" t="str">
        <f t="shared" ca="1" si="27"/>
        <v/>
      </c>
      <c r="E61" s="21" t="str">
        <f t="shared" ca="1" si="28"/>
        <v/>
      </c>
      <c r="F61" s="21" t="str">
        <f t="shared" ca="1" si="29"/>
        <v/>
      </c>
      <c r="G61" s="21" t="str">
        <f t="shared" ca="1" si="30"/>
        <v/>
      </c>
      <c r="H61" s="21" t="str">
        <f t="shared" ca="1" si="31"/>
        <v/>
      </c>
      <c r="I61" s="21" t="str">
        <f t="shared" ca="1" si="32"/>
        <v/>
      </c>
      <c r="J61" s="21" t="str">
        <f t="shared" ca="1" si="33"/>
        <v/>
      </c>
      <c r="K61" s="21" t="str">
        <f t="shared" ca="1" si="34"/>
        <v/>
      </c>
      <c r="L61" s="21" t="str">
        <f t="shared" ca="1" si="35"/>
        <v/>
      </c>
      <c r="M61" s="21" t="str">
        <f t="shared" ca="1" si="36"/>
        <v/>
      </c>
      <c r="N61" s="21">
        <f t="shared" ca="1" si="37"/>
        <v>39836549.642821506</v>
      </c>
      <c r="O61" s="21">
        <f t="shared" ca="1" si="38"/>
        <v>2472072.8451866372</v>
      </c>
      <c r="P61" s="21">
        <f t="shared" ca="1" si="39"/>
        <v>2472072.8451866372</v>
      </c>
      <c r="Q61" s="21">
        <f t="shared" ca="1" si="40"/>
        <v>2472072.8451866372</v>
      </c>
      <c r="R61" s="173">
        <f t="shared" ca="1" si="41"/>
        <v>2472072.8451866372</v>
      </c>
    </row>
    <row r="62" spans="3:18" x14ac:dyDescent="0.2">
      <c r="C62" s="182">
        <f t="shared" si="26"/>
        <v>12</v>
      </c>
      <c r="D62" s="21" t="str">
        <f t="shared" ca="1" si="27"/>
        <v/>
      </c>
      <c r="E62" s="21" t="str">
        <f t="shared" ca="1" si="28"/>
        <v/>
      </c>
      <c r="F62" s="21" t="str">
        <f t="shared" ca="1" si="29"/>
        <v/>
      </c>
      <c r="G62" s="21" t="str">
        <f t="shared" ca="1" si="30"/>
        <v/>
      </c>
      <c r="H62" s="21" t="str">
        <f t="shared" ca="1" si="31"/>
        <v/>
      </c>
      <c r="I62" s="21" t="str">
        <f t="shared" ca="1" si="32"/>
        <v/>
      </c>
      <c r="J62" s="21" t="str">
        <f t="shared" ca="1" si="33"/>
        <v/>
      </c>
      <c r="K62" s="21" t="str">
        <f t="shared" ca="1" si="34"/>
        <v/>
      </c>
      <c r="L62" s="21" t="str">
        <f t="shared" ca="1" si="35"/>
        <v/>
      </c>
      <c r="M62" s="21" t="str">
        <f t="shared" ca="1" si="36"/>
        <v/>
      </c>
      <c r="N62" s="21" t="str">
        <f t="shared" ca="1" si="37"/>
        <v/>
      </c>
      <c r="O62" s="21">
        <f t="shared" ca="1" si="38"/>
        <v>39965915.395816758</v>
      </c>
      <c r="P62" s="21">
        <f t="shared" ca="1" si="39"/>
        <v>2494783.347086261</v>
      </c>
      <c r="Q62" s="21">
        <f t="shared" ca="1" si="40"/>
        <v>2494783.347086261</v>
      </c>
      <c r="R62" s="173">
        <f t="shared" ca="1" si="41"/>
        <v>2494783.347086261</v>
      </c>
    </row>
    <row r="63" spans="3:18" x14ac:dyDescent="0.2">
      <c r="C63" s="182">
        <f t="shared" si="26"/>
        <v>13</v>
      </c>
      <c r="D63" s="21" t="str">
        <f t="shared" ca="1" si="27"/>
        <v/>
      </c>
      <c r="E63" s="21" t="str">
        <f t="shared" ca="1" si="28"/>
        <v/>
      </c>
      <c r="F63" s="21" t="str">
        <f t="shared" ca="1" si="29"/>
        <v/>
      </c>
      <c r="G63" s="21" t="str">
        <f t="shared" ca="1" si="30"/>
        <v/>
      </c>
      <c r="H63" s="21" t="str">
        <f t="shared" ca="1" si="31"/>
        <v/>
      </c>
      <c r="I63" s="21" t="str">
        <f t="shared" ca="1" si="32"/>
        <v/>
      </c>
      <c r="J63" s="21" t="str">
        <f t="shared" ca="1" si="33"/>
        <v/>
      </c>
      <c r="K63" s="21" t="str">
        <f t="shared" ca="1" si="34"/>
        <v/>
      </c>
      <c r="L63" s="21" t="str">
        <f t="shared" ca="1" si="35"/>
        <v/>
      </c>
      <c r="M63" s="21" t="str">
        <f t="shared" ca="1" si="36"/>
        <v/>
      </c>
      <c r="N63" s="21" t="str">
        <f t="shared" ca="1" si="37"/>
        <v/>
      </c>
      <c r="O63" s="21" t="str">
        <f t="shared" ca="1" si="38"/>
        <v/>
      </c>
      <c r="P63" s="21">
        <f t="shared" ca="1" si="39"/>
        <v>40093766.67567981</v>
      </c>
      <c r="Q63" s="21">
        <f t="shared" ca="1" si="40"/>
        <v>2517413.322372877</v>
      </c>
      <c r="R63" s="173">
        <f t="shared" ca="1" si="41"/>
        <v>2517413.322372877</v>
      </c>
    </row>
    <row r="64" spans="3:18" x14ac:dyDescent="0.2">
      <c r="C64" s="182">
        <f t="shared" si="26"/>
        <v>14</v>
      </c>
      <c r="D64" s="21" t="str">
        <f t="shared" ca="1" si="27"/>
        <v/>
      </c>
      <c r="E64" s="21" t="str">
        <f t="shared" ca="1" si="28"/>
        <v/>
      </c>
      <c r="F64" s="21" t="str">
        <f t="shared" ca="1" si="29"/>
        <v/>
      </c>
      <c r="G64" s="21" t="str">
        <f t="shared" ca="1" si="30"/>
        <v/>
      </c>
      <c r="H64" s="21" t="str">
        <f t="shared" ca="1" si="31"/>
        <v/>
      </c>
      <c r="I64" s="21" t="str">
        <f t="shared" ca="1" si="32"/>
        <v/>
      </c>
      <c r="J64" s="21" t="str">
        <f t="shared" ca="1" si="33"/>
        <v/>
      </c>
      <c r="K64" s="21" t="str">
        <f t="shared" ca="1" si="34"/>
        <v/>
      </c>
      <c r="L64" s="21" t="str">
        <f t="shared" ca="1" si="35"/>
        <v/>
      </c>
      <c r="M64" s="21" t="str">
        <f t="shared" ca="1" si="36"/>
        <v/>
      </c>
      <c r="N64" s="21" t="str">
        <f t="shared" ca="1" si="37"/>
        <v/>
      </c>
      <c r="O64" s="21" t="str">
        <f t="shared" ca="1" si="38"/>
        <v/>
      </c>
      <c r="P64" s="21" t="str">
        <f t="shared" ca="1" si="39"/>
        <v/>
      </c>
      <c r="Q64" s="21">
        <f t="shared" ca="1" si="40"/>
        <v>40219958.455378585</v>
      </c>
      <c r="R64" s="173">
        <f t="shared" ca="1" si="41"/>
        <v>2539949.1297851903</v>
      </c>
    </row>
    <row r="65" spans="2:18" x14ac:dyDescent="0.2">
      <c r="C65" s="183">
        <f t="shared" si="26"/>
        <v>15</v>
      </c>
      <c r="D65" s="112" t="str">
        <f t="shared" ca="1" si="27"/>
        <v/>
      </c>
      <c r="E65" s="112" t="str">
        <f t="shared" ca="1" si="28"/>
        <v/>
      </c>
      <c r="F65" s="112" t="str">
        <f t="shared" ca="1" si="29"/>
        <v/>
      </c>
      <c r="G65" s="112" t="str">
        <f t="shared" ca="1" si="30"/>
        <v/>
      </c>
      <c r="H65" s="112" t="str">
        <f t="shared" ca="1" si="31"/>
        <v/>
      </c>
      <c r="I65" s="112" t="str">
        <f t="shared" ca="1" si="32"/>
        <v/>
      </c>
      <c r="J65" s="112" t="str">
        <f t="shared" ca="1" si="33"/>
        <v/>
      </c>
      <c r="K65" s="112" t="str">
        <f t="shared" ca="1" si="34"/>
        <v/>
      </c>
      <c r="L65" s="112" t="str">
        <f t="shared" ca="1" si="35"/>
        <v/>
      </c>
      <c r="M65" s="112" t="str">
        <f t="shared" ca="1" si="36"/>
        <v/>
      </c>
      <c r="N65" s="112" t="str">
        <f t="shared" ca="1" si="37"/>
        <v/>
      </c>
      <c r="O65" s="112" t="str">
        <f t="shared" ca="1" si="38"/>
        <v/>
      </c>
      <c r="P65" s="112" t="str">
        <f t="shared" ca="1" si="39"/>
        <v/>
      </c>
      <c r="Q65" s="112" t="str">
        <f t="shared" ca="1" si="40"/>
        <v/>
      </c>
      <c r="R65" s="113">
        <f t="shared" ca="1" si="41"/>
        <v>40344341.542337924</v>
      </c>
    </row>
    <row r="67" spans="2:18" x14ac:dyDescent="0.2">
      <c r="B67" s="31" t="s">
        <v>159</v>
      </c>
    </row>
    <row r="68" spans="2:18" x14ac:dyDescent="0.2">
      <c r="C68" s="20" t="s">
        <v>87</v>
      </c>
      <c r="D68" s="170">
        <f t="shared" ref="D68:R68" si="42">IF(OR(D$13="",D$13=0),"",D$4)</f>
        <v>1</v>
      </c>
      <c r="E68" s="170">
        <f t="shared" si="42"/>
        <v>2</v>
      </c>
      <c r="F68" s="170">
        <f t="shared" si="42"/>
        <v>3</v>
      </c>
      <c r="G68" s="170">
        <f t="shared" si="42"/>
        <v>4</v>
      </c>
      <c r="H68" s="170">
        <f t="shared" si="42"/>
        <v>5</v>
      </c>
      <c r="I68" s="170">
        <f t="shared" si="42"/>
        <v>6</v>
      </c>
      <c r="J68" s="170">
        <f t="shared" si="42"/>
        <v>7</v>
      </c>
      <c r="K68" s="170">
        <f t="shared" si="42"/>
        <v>8</v>
      </c>
      <c r="L68" s="170">
        <f t="shared" si="42"/>
        <v>9</v>
      </c>
      <c r="M68" s="170">
        <f t="shared" si="42"/>
        <v>10</v>
      </c>
      <c r="N68" s="170">
        <f t="shared" si="42"/>
        <v>11</v>
      </c>
      <c r="O68" s="170">
        <f t="shared" si="42"/>
        <v>12</v>
      </c>
      <c r="P68" s="170">
        <f t="shared" si="42"/>
        <v>13</v>
      </c>
      <c r="Q68" s="170">
        <f t="shared" si="42"/>
        <v>14</v>
      </c>
      <c r="R68" s="163">
        <f t="shared" si="42"/>
        <v>15</v>
      </c>
    </row>
    <row r="69" spans="2:18" x14ac:dyDescent="0.2">
      <c r="C69" s="65" t="s">
        <v>56</v>
      </c>
      <c r="D69" s="171">
        <f ca="1">IF(OR(D$48="",D$48=0),"",IF(AND(MIN(D$70:D$85)&lt;0,MAX(D$70:D$85)&gt;0),IRR(D$70:D$85),"-"))</f>
        <v>-0.94701947853200563</v>
      </c>
      <c r="E69" s="171">
        <f t="shared" ref="E69:R69" ca="1" si="43">IF(OR(E$48="",E$48=0),"",IF(AND(MIN(E$70:E$85)&lt;0,MAX(E$70:E$85)&gt;0),IRR(E$70:E$85),"-"))</f>
        <v>-4.6767434499632832E-2</v>
      </c>
      <c r="F69" s="171">
        <f t="shared" ca="1" si="43"/>
        <v>0.51634898100999882</v>
      </c>
      <c r="G69" s="171">
        <f t="shared" ca="1" si="43"/>
        <v>0.73145868104135925</v>
      </c>
      <c r="H69" s="171">
        <f t="shared" ca="1" si="43"/>
        <v>0.82159012884910321</v>
      </c>
      <c r="I69" s="171">
        <f t="shared" ca="1" si="43"/>
        <v>0.86261375188297507</v>
      </c>
      <c r="J69" s="171">
        <f t="shared" ca="1" si="43"/>
        <v>0.88234595448831032</v>
      </c>
      <c r="K69" s="171">
        <f t="shared" ca="1" si="43"/>
        <v>0.89218104745327054</v>
      </c>
      <c r="L69" s="171">
        <f t="shared" ca="1" si="43"/>
        <v>0.89719566926648264</v>
      </c>
      <c r="M69" s="171">
        <f t="shared" ca="1" si="43"/>
        <v>0.89978938626940042</v>
      </c>
      <c r="N69" s="171">
        <f t="shared" ca="1" si="43"/>
        <v>0.90114300580523321</v>
      </c>
      <c r="O69" s="171">
        <f t="shared" ca="1" si="43"/>
        <v>0.90185335913099274</v>
      </c>
      <c r="P69" s="171">
        <f t="shared" ca="1" si="43"/>
        <v>0.9022274030954518</v>
      </c>
      <c r="Q69" s="171">
        <f t="shared" ca="1" si="43"/>
        <v>0.9024247650358066</v>
      </c>
      <c r="R69" s="172">
        <f t="shared" ca="1" si="43"/>
        <v>0.90252903139175489</v>
      </c>
    </row>
    <row r="70" spans="2:18" x14ac:dyDescent="0.2">
      <c r="C70" s="181">
        <v>0</v>
      </c>
      <c r="D70" s="184">
        <f t="shared" ref="D70:R70" si="44">IF(OR(D$48="",D$48=0),"",-Initial_Equity)</f>
        <v>-19658791.736615382</v>
      </c>
      <c r="E70" s="184">
        <f t="shared" si="44"/>
        <v>-19658791.736615382</v>
      </c>
      <c r="F70" s="184">
        <f t="shared" si="44"/>
        <v>-19658791.736615382</v>
      </c>
      <c r="G70" s="184">
        <f t="shared" si="44"/>
        <v>-19658791.736615382</v>
      </c>
      <c r="H70" s="184">
        <f t="shared" si="44"/>
        <v>-19658791.736615382</v>
      </c>
      <c r="I70" s="184">
        <f t="shared" si="44"/>
        <v>-19658791.736615382</v>
      </c>
      <c r="J70" s="184">
        <f t="shared" si="44"/>
        <v>-19658791.736615382</v>
      </c>
      <c r="K70" s="184">
        <f t="shared" si="44"/>
        <v>-19658791.736615382</v>
      </c>
      <c r="L70" s="184">
        <f t="shared" si="44"/>
        <v>-19658791.736615382</v>
      </c>
      <c r="M70" s="184">
        <f t="shared" si="44"/>
        <v>-19658791.736615382</v>
      </c>
      <c r="N70" s="184">
        <f t="shared" si="44"/>
        <v>-19658791.736615382</v>
      </c>
      <c r="O70" s="184">
        <f t="shared" si="44"/>
        <v>-19658791.736615382</v>
      </c>
      <c r="P70" s="184">
        <f t="shared" si="44"/>
        <v>-19658791.736615382</v>
      </c>
      <c r="Q70" s="184">
        <f t="shared" si="44"/>
        <v>-19658791.736615382</v>
      </c>
      <c r="R70" s="185">
        <f t="shared" si="44"/>
        <v>-19658791.736615382</v>
      </c>
    </row>
    <row r="71" spans="2:18" x14ac:dyDescent="0.2">
      <c r="C71" s="182">
        <f t="shared" ref="C71:C85" si="45">C70+1</f>
        <v>1</v>
      </c>
      <c r="D71" s="21">
        <f ca="1">IF($C71&gt;D$48,"",IF(OR(D$48="",D$48=0),"",IF(D$48=$C71,OFFSET($D$35,0,$C70)+OFFSET($D$35,0,$C70),OFFSET($D$32,0,$C70))))</f>
        <v>1041533.0376365813</v>
      </c>
      <c r="E71" s="21">
        <f t="shared" ref="E71:R71" ca="1" si="46">IF($C71&gt;E$48,"",IF(OR(E$48="",E$48=0),"",IF(E$48=$C71,OFFSET($D$35,0,$C70)+OFFSET($D$35,0,$C70),OFFSET($D$32,0,$C70))))</f>
        <v>17269736.184735194</v>
      </c>
      <c r="F71" s="21">
        <f t="shared" ca="1" si="46"/>
        <v>17269736.184735194</v>
      </c>
      <c r="G71" s="21">
        <f t="shared" ca="1" si="46"/>
        <v>17269736.184735194</v>
      </c>
      <c r="H71" s="21">
        <f t="shared" ca="1" si="46"/>
        <v>17269736.184735194</v>
      </c>
      <c r="I71" s="21">
        <f t="shared" ca="1" si="46"/>
        <v>17269736.184735194</v>
      </c>
      <c r="J71" s="21">
        <f t="shared" ca="1" si="46"/>
        <v>17269736.184735194</v>
      </c>
      <c r="K71" s="21">
        <f t="shared" ca="1" si="46"/>
        <v>17269736.184735194</v>
      </c>
      <c r="L71" s="21">
        <f t="shared" ca="1" si="46"/>
        <v>17269736.184735194</v>
      </c>
      <c r="M71" s="21">
        <f t="shared" ca="1" si="46"/>
        <v>17269736.184735194</v>
      </c>
      <c r="N71" s="21">
        <f t="shared" ca="1" si="46"/>
        <v>17269736.184735194</v>
      </c>
      <c r="O71" s="21">
        <f t="shared" ca="1" si="46"/>
        <v>17269736.184735194</v>
      </c>
      <c r="P71" s="21">
        <f t="shared" ca="1" si="46"/>
        <v>17269736.184735194</v>
      </c>
      <c r="Q71" s="21">
        <f t="shared" ca="1" si="46"/>
        <v>17269736.184735194</v>
      </c>
      <c r="R71" s="173">
        <f t="shared" ca="1" si="46"/>
        <v>17269736.184735194</v>
      </c>
    </row>
    <row r="72" spans="2:18" x14ac:dyDescent="0.2">
      <c r="C72" s="182">
        <f t="shared" si="45"/>
        <v>2</v>
      </c>
      <c r="D72" s="21" t="str">
        <f t="shared" ref="D72:D85" ca="1" si="47">IF($C72&gt;D$48,"",IF(OR(D$48="",D$48=0),"",IF(D$48=$C72,OFFSET($D$35,0,$C71)+OFFSET($D$35,0,$C71),OFFSET($D$32,0,$C71))))</f>
        <v/>
      </c>
      <c r="E72" s="21">
        <f t="shared" ref="E72:E85" ca="1" si="48">IF($C72&gt;E$48,"",IF(OR(E$48="",E$48=0),"",IF(E$48=$C72,OFFSET($D$35,0,$C71)+OFFSET($D$35,0,$C71),OFFSET($D$32,0,$C71))))</f>
        <v>1400931.8682499151</v>
      </c>
      <c r="F72" s="21">
        <f t="shared" ref="F72:F85" ca="1" si="49">IF($C72&gt;F$48,"",IF(OR(F$48="",F$48=0),"",IF(F$48=$C72,OFFSET($D$35,0,$C71)+OFFSET($D$35,0,$C71),OFFSET($D$32,0,$C71))))</f>
        <v>17752456.415443081</v>
      </c>
      <c r="G72" s="21">
        <f t="shared" ref="G72:G85" ca="1" si="50">IF($C72&gt;G$48,"",IF(OR(G$48="",G$48=0),"",IF(G$48=$C72,OFFSET($D$35,0,$C71)+OFFSET($D$35,0,$C71),OFFSET($D$32,0,$C71))))</f>
        <v>17752456.415443081</v>
      </c>
      <c r="H72" s="21">
        <f t="shared" ref="H72:H85" ca="1" si="51">IF($C72&gt;H$48,"",IF(OR(H$48="",H$48=0),"",IF(H$48=$C72,OFFSET($D$35,0,$C71)+OFFSET($D$35,0,$C71),OFFSET($D$32,0,$C71))))</f>
        <v>17752456.415443081</v>
      </c>
      <c r="I72" s="21">
        <f t="shared" ref="I72:I85" ca="1" si="52">IF($C72&gt;I$48,"",IF(OR(I$48="",I$48=0),"",IF(I$48=$C72,OFFSET($D$35,0,$C71)+OFFSET($D$35,0,$C71),OFFSET($D$32,0,$C71))))</f>
        <v>17752456.415443081</v>
      </c>
      <c r="J72" s="21">
        <f t="shared" ref="J72:J85" ca="1" si="53">IF($C72&gt;J$48,"",IF(OR(J$48="",J$48=0),"",IF(J$48=$C72,OFFSET($D$35,0,$C71)+OFFSET($D$35,0,$C71),OFFSET($D$32,0,$C71))))</f>
        <v>17752456.415443081</v>
      </c>
      <c r="K72" s="21">
        <f t="shared" ref="K72:K85" ca="1" si="54">IF($C72&gt;K$48,"",IF(OR(K$48="",K$48=0),"",IF(K$48=$C72,OFFSET($D$35,0,$C71)+OFFSET($D$35,0,$C71),OFFSET($D$32,0,$C71))))</f>
        <v>17752456.415443081</v>
      </c>
      <c r="L72" s="21">
        <f t="shared" ref="L72:L85" ca="1" si="55">IF($C72&gt;L$48,"",IF(OR(L$48="",L$48=0),"",IF(L$48=$C72,OFFSET($D$35,0,$C71)+OFFSET($D$35,0,$C71),OFFSET($D$32,0,$C71))))</f>
        <v>17752456.415443081</v>
      </c>
      <c r="M72" s="21">
        <f t="shared" ref="M72:M85" ca="1" si="56">IF($C72&gt;M$48,"",IF(OR(M$48="",M$48=0),"",IF(M$48=$C72,OFFSET($D$35,0,$C71)+OFFSET($D$35,0,$C71),OFFSET($D$32,0,$C71))))</f>
        <v>17752456.415443081</v>
      </c>
      <c r="N72" s="21">
        <f t="shared" ref="N72:N85" ca="1" si="57">IF($C72&gt;N$48,"",IF(OR(N$48="",N$48=0),"",IF(N$48=$C72,OFFSET($D$35,0,$C71)+OFFSET($D$35,0,$C71),OFFSET($D$32,0,$C71))))</f>
        <v>17752456.415443081</v>
      </c>
      <c r="O72" s="21">
        <f t="shared" ref="O72:O85" ca="1" si="58">IF($C72&gt;O$48,"",IF(OR(O$48="",O$48=0),"",IF(O$48=$C72,OFFSET($D$35,0,$C71)+OFFSET($D$35,0,$C71),OFFSET($D$32,0,$C71))))</f>
        <v>17752456.415443081</v>
      </c>
      <c r="P72" s="21">
        <f t="shared" ref="P72:P85" ca="1" si="59">IF($C72&gt;P$48,"",IF(OR(P$48="",P$48=0),"",IF(P$48=$C72,OFFSET($D$35,0,$C71)+OFFSET($D$35,0,$C71),OFFSET($D$32,0,$C71))))</f>
        <v>17752456.415443081</v>
      </c>
      <c r="Q72" s="21">
        <f t="shared" ref="Q72:Q85" ca="1" si="60">IF($C72&gt;Q$48,"",IF(OR(Q$48="",Q$48=0),"",IF(Q$48=$C72,OFFSET($D$35,0,$C71)+OFFSET($D$35,0,$C71),OFFSET($D$32,0,$C71))))</f>
        <v>17752456.415443081</v>
      </c>
      <c r="R72" s="173">
        <f t="shared" ref="R72:R85" ca="1" si="61">IF($C72&gt;R$48,"",IF(OR(R$48="",R$48=0),"",IF(R$48=$C72,OFFSET($D$35,0,$C71)+OFFSET($D$35,0,$C71),OFFSET($D$32,0,$C71))))</f>
        <v>17752456.415443081</v>
      </c>
    </row>
    <row r="73" spans="2:18" x14ac:dyDescent="0.2">
      <c r="C73" s="182">
        <f t="shared" si="45"/>
        <v>3</v>
      </c>
      <c r="D73" s="21" t="str">
        <f t="shared" ca="1" si="47"/>
        <v/>
      </c>
      <c r="E73" s="21" t="str">
        <f t="shared" ca="1" si="48"/>
        <v/>
      </c>
      <c r="F73" s="21">
        <f t="shared" ca="1" si="49"/>
        <v>1914142.4328216459</v>
      </c>
      <c r="G73" s="21">
        <f ca="1">IF($C73&gt;G$48,"",IF(OR(G$48="",G$48=0),"",IF(G$48=$C73,OFFSET($D$35,0,$C72)+OFFSET($D$35,0,$C72),OFFSET($D$32,0,$C72))))</f>
        <v>18401922.988635786</v>
      </c>
      <c r="H73" s="21">
        <f t="shared" ca="1" si="51"/>
        <v>18401922.988635786</v>
      </c>
      <c r="I73" s="21">
        <f t="shared" ca="1" si="52"/>
        <v>18401922.988635786</v>
      </c>
      <c r="J73" s="21">
        <f t="shared" ca="1" si="53"/>
        <v>18401922.988635786</v>
      </c>
      <c r="K73" s="21">
        <f t="shared" ca="1" si="54"/>
        <v>18401922.988635786</v>
      </c>
      <c r="L73" s="21">
        <f t="shared" ca="1" si="55"/>
        <v>18401922.988635786</v>
      </c>
      <c r="M73" s="21">
        <f t="shared" ca="1" si="56"/>
        <v>18401922.988635786</v>
      </c>
      <c r="N73" s="21">
        <f t="shared" ca="1" si="57"/>
        <v>18401922.988635786</v>
      </c>
      <c r="O73" s="21">
        <f t="shared" ca="1" si="58"/>
        <v>18401922.988635786</v>
      </c>
      <c r="P73" s="21">
        <f t="shared" ca="1" si="59"/>
        <v>18401922.988635786</v>
      </c>
      <c r="Q73" s="21">
        <f t="shared" ca="1" si="60"/>
        <v>18401922.988635786</v>
      </c>
      <c r="R73" s="173">
        <f t="shared" ca="1" si="61"/>
        <v>18401922.988635786</v>
      </c>
    </row>
    <row r="74" spans="2:18" x14ac:dyDescent="0.2">
      <c r="C74" s="182">
        <f t="shared" si="45"/>
        <v>4</v>
      </c>
      <c r="D74" s="21" t="str">
        <f t="shared" ca="1" si="47"/>
        <v/>
      </c>
      <c r="E74" s="21" t="str">
        <f t="shared" ca="1" si="48"/>
        <v/>
      </c>
      <c r="F74" s="21" t="str">
        <f t="shared" ca="1" si="49"/>
        <v/>
      </c>
      <c r="G74" s="21">
        <f t="shared" ca="1" si="50"/>
        <v>1959995.2506491984</v>
      </c>
      <c r="H74" s="21">
        <f t="shared" ca="1" si="51"/>
        <v>18538078.654611774</v>
      </c>
      <c r="I74" s="21">
        <f t="shared" ca="1" si="52"/>
        <v>18538078.654611774</v>
      </c>
      <c r="J74" s="21">
        <f t="shared" ca="1" si="53"/>
        <v>18538078.654611774</v>
      </c>
      <c r="K74" s="21">
        <f t="shared" ca="1" si="54"/>
        <v>18538078.654611774</v>
      </c>
      <c r="L74" s="21">
        <f t="shared" ca="1" si="55"/>
        <v>18538078.654611774</v>
      </c>
      <c r="M74" s="21">
        <f t="shared" ca="1" si="56"/>
        <v>18538078.654611774</v>
      </c>
      <c r="N74" s="21">
        <f t="shared" ca="1" si="57"/>
        <v>18538078.654611774</v>
      </c>
      <c r="O74" s="21">
        <f t="shared" ca="1" si="58"/>
        <v>18538078.654611774</v>
      </c>
      <c r="P74" s="21">
        <f t="shared" ca="1" si="59"/>
        <v>18538078.654611774</v>
      </c>
      <c r="Q74" s="21">
        <f t="shared" ca="1" si="60"/>
        <v>18538078.654611774</v>
      </c>
      <c r="R74" s="173">
        <f t="shared" ca="1" si="61"/>
        <v>18538078.654611774</v>
      </c>
    </row>
    <row r="75" spans="2:18" x14ac:dyDescent="0.2">
      <c r="C75" s="182">
        <f t="shared" si="45"/>
        <v>5</v>
      </c>
      <c r="D75" s="21" t="str">
        <f t="shared" ca="1" si="47"/>
        <v/>
      </c>
      <c r="E75" s="21" t="str">
        <f t="shared" ca="1" si="48"/>
        <v/>
      </c>
      <c r="F75" s="21" t="str">
        <f t="shared" ca="1" si="49"/>
        <v/>
      </c>
      <c r="G75" s="21" t="str">
        <f t="shared" ca="1" si="50"/>
        <v/>
      </c>
      <c r="H75" s="21">
        <f t="shared" ca="1" si="51"/>
        <v>2005868.3239109539</v>
      </c>
      <c r="I75" s="21">
        <f t="shared" ca="1" si="52"/>
        <v>18675413.330249049</v>
      </c>
      <c r="J75" s="21">
        <f t="shared" ca="1" si="53"/>
        <v>18675413.330249049</v>
      </c>
      <c r="K75" s="21">
        <f t="shared" ca="1" si="54"/>
        <v>18675413.330249049</v>
      </c>
      <c r="L75" s="21">
        <f t="shared" ca="1" si="55"/>
        <v>18675413.330249049</v>
      </c>
      <c r="M75" s="21">
        <f t="shared" ca="1" si="56"/>
        <v>18675413.330249049</v>
      </c>
      <c r="N75" s="21">
        <f t="shared" ca="1" si="57"/>
        <v>18675413.330249049</v>
      </c>
      <c r="O75" s="21">
        <f t="shared" ca="1" si="58"/>
        <v>18675413.330249049</v>
      </c>
      <c r="P75" s="21">
        <f t="shared" ca="1" si="59"/>
        <v>18675413.330249049</v>
      </c>
      <c r="Q75" s="21">
        <f t="shared" ca="1" si="60"/>
        <v>18675413.330249049</v>
      </c>
      <c r="R75" s="173">
        <f t="shared" ca="1" si="61"/>
        <v>18675413.330249049</v>
      </c>
    </row>
    <row r="76" spans="2:18" x14ac:dyDescent="0.2">
      <c r="C76" s="182">
        <f t="shared" si="45"/>
        <v>6</v>
      </c>
      <c r="D76" s="21" t="str">
        <f t="shared" ca="1" si="47"/>
        <v/>
      </c>
      <c r="E76" s="21" t="str">
        <f t="shared" ca="1" si="48"/>
        <v/>
      </c>
      <c r="F76" s="21" t="str">
        <f t="shared" ca="1" si="49"/>
        <v/>
      </c>
      <c r="G76" s="21" t="str">
        <f t="shared" ca="1" si="50"/>
        <v/>
      </c>
      <c r="H76" s="21" t="str">
        <f t="shared" ca="1" si="51"/>
        <v/>
      </c>
      <c r="I76" s="21">
        <f t="shared" ca="1" si="52"/>
        <v>2051742.2691007913</v>
      </c>
      <c r="J76" s="21">
        <f t="shared" ca="1" si="53"/>
        <v>18813945.735030688</v>
      </c>
      <c r="K76" s="21">
        <f t="shared" ca="1" si="54"/>
        <v>18813945.735030688</v>
      </c>
      <c r="L76" s="21">
        <f t="shared" ca="1" si="55"/>
        <v>18813945.735030688</v>
      </c>
      <c r="M76" s="21">
        <f t="shared" ca="1" si="56"/>
        <v>18813945.735030688</v>
      </c>
      <c r="N76" s="21">
        <f t="shared" ca="1" si="57"/>
        <v>18813945.735030688</v>
      </c>
      <c r="O76" s="21">
        <f t="shared" ca="1" si="58"/>
        <v>18813945.735030688</v>
      </c>
      <c r="P76" s="21">
        <f t="shared" ca="1" si="59"/>
        <v>18813945.735030688</v>
      </c>
      <c r="Q76" s="21">
        <f t="shared" ca="1" si="60"/>
        <v>18813945.735030688</v>
      </c>
      <c r="R76" s="173">
        <f t="shared" ca="1" si="61"/>
        <v>18813945.735030688</v>
      </c>
    </row>
    <row r="77" spans="2:18" x14ac:dyDescent="0.2">
      <c r="C77" s="182">
        <f t="shared" si="45"/>
        <v>7</v>
      </c>
      <c r="D77" s="21" t="str">
        <f t="shared" ca="1" si="47"/>
        <v/>
      </c>
      <c r="E77" s="21" t="str">
        <f t="shared" ca="1" si="48"/>
        <v/>
      </c>
      <c r="F77" s="21" t="str">
        <f t="shared" ca="1" si="49"/>
        <v/>
      </c>
      <c r="G77" s="21" t="str">
        <f t="shared" ca="1" si="50"/>
        <v/>
      </c>
      <c r="H77" s="21" t="str">
        <f t="shared" ca="1" si="51"/>
        <v/>
      </c>
      <c r="I77" s="21" t="str">
        <f t="shared" ca="1" si="52"/>
        <v/>
      </c>
      <c r="J77" s="21">
        <f t="shared" ca="1" si="53"/>
        <v>2097596.8288816609</v>
      </c>
      <c r="K77" s="21">
        <f t="shared" ca="1" si="54"/>
        <v>18953701.354635727</v>
      </c>
      <c r="L77" s="21">
        <f t="shared" ca="1" si="55"/>
        <v>18953701.354635727</v>
      </c>
      <c r="M77" s="21">
        <f t="shared" ca="1" si="56"/>
        <v>18953701.354635727</v>
      </c>
      <c r="N77" s="21">
        <f t="shared" ca="1" si="57"/>
        <v>18953701.354635727</v>
      </c>
      <c r="O77" s="21">
        <f t="shared" ca="1" si="58"/>
        <v>18953701.354635727</v>
      </c>
      <c r="P77" s="21">
        <f t="shared" ca="1" si="59"/>
        <v>18953701.354635727</v>
      </c>
      <c r="Q77" s="21">
        <f t="shared" ca="1" si="60"/>
        <v>18953701.354635727</v>
      </c>
      <c r="R77" s="173">
        <f t="shared" ca="1" si="61"/>
        <v>18953701.354635727</v>
      </c>
    </row>
    <row r="78" spans="2:18" x14ac:dyDescent="0.2">
      <c r="C78" s="182">
        <f t="shared" si="45"/>
        <v>8</v>
      </c>
      <c r="D78" s="21" t="str">
        <f t="shared" ca="1" si="47"/>
        <v/>
      </c>
      <c r="E78" s="21" t="str">
        <f t="shared" ca="1" si="48"/>
        <v/>
      </c>
      <c r="F78" s="21" t="str">
        <f t="shared" ca="1" si="49"/>
        <v/>
      </c>
      <c r="G78" s="21" t="str">
        <f t="shared" ca="1" si="50"/>
        <v/>
      </c>
      <c r="H78" s="21" t="str">
        <f t="shared" ca="1" si="51"/>
        <v/>
      </c>
      <c r="I78" s="21" t="str">
        <f t="shared" ca="1" si="52"/>
        <v/>
      </c>
      <c r="J78" s="21" t="str">
        <f t="shared" ca="1" si="53"/>
        <v/>
      </c>
      <c r="K78" s="21">
        <f t="shared" ca="1" si="54"/>
        <v>2143410.8416634467</v>
      </c>
      <c r="L78" s="21">
        <f t="shared" ca="1" si="55"/>
        <v>19094713.037238345</v>
      </c>
      <c r="M78" s="21">
        <f t="shared" ca="1" si="56"/>
        <v>19094713.037238345</v>
      </c>
      <c r="N78" s="21">
        <f t="shared" ca="1" si="57"/>
        <v>19094713.037238345</v>
      </c>
      <c r="O78" s="21">
        <f t="shared" ca="1" si="58"/>
        <v>19094713.037238345</v>
      </c>
      <c r="P78" s="21">
        <f t="shared" ca="1" si="59"/>
        <v>19094713.037238345</v>
      </c>
      <c r="Q78" s="21">
        <f t="shared" ca="1" si="60"/>
        <v>19094713.037238345</v>
      </c>
      <c r="R78" s="173">
        <f t="shared" ca="1" si="61"/>
        <v>19094713.037238345</v>
      </c>
    </row>
    <row r="79" spans="2:18" x14ac:dyDescent="0.2">
      <c r="C79" s="182">
        <f t="shared" si="45"/>
        <v>9</v>
      </c>
      <c r="D79" s="21" t="str">
        <f t="shared" ca="1" si="47"/>
        <v/>
      </c>
      <c r="E79" s="21" t="str">
        <f t="shared" ca="1" si="48"/>
        <v/>
      </c>
      <c r="F79" s="21" t="str">
        <f t="shared" ca="1" si="49"/>
        <v/>
      </c>
      <c r="G79" s="21" t="str">
        <f t="shared" ca="1" si="50"/>
        <v/>
      </c>
      <c r="H79" s="21" t="str">
        <f t="shared" ca="1" si="51"/>
        <v/>
      </c>
      <c r="I79" s="21" t="str">
        <f t="shared" ca="1" si="52"/>
        <v/>
      </c>
      <c r="J79" s="21" t="str">
        <f t="shared" ca="1" si="53"/>
        <v/>
      </c>
      <c r="K79" s="21" t="str">
        <f t="shared" ca="1" si="54"/>
        <v/>
      </c>
      <c r="L79" s="21">
        <f t="shared" ca="1" si="55"/>
        <v>2189162.210209304</v>
      </c>
      <c r="M79" s="21">
        <f t="shared" ca="1" si="56"/>
        <v>19237021.640852645</v>
      </c>
      <c r="N79" s="21">
        <f t="shared" ca="1" si="57"/>
        <v>19237021.640852645</v>
      </c>
      <c r="O79" s="21">
        <f t="shared" ca="1" si="58"/>
        <v>19237021.640852645</v>
      </c>
      <c r="P79" s="21">
        <f t="shared" ca="1" si="59"/>
        <v>19237021.640852645</v>
      </c>
      <c r="Q79" s="21">
        <f t="shared" ca="1" si="60"/>
        <v>19237021.640852645</v>
      </c>
      <c r="R79" s="173">
        <f t="shared" ca="1" si="61"/>
        <v>19237021.640852645</v>
      </c>
    </row>
    <row r="80" spans="2:18" x14ac:dyDescent="0.2">
      <c r="C80" s="182">
        <f t="shared" si="45"/>
        <v>10</v>
      </c>
      <c r="D80" s="21" t="str">
        <f t="shared" ca="1" si="47"/>
        <v/>
      </c>
      <c r="E80" s="21" t="str">
        <f t="shared" ca="1" si="48"/>
        <v/>
      </c>
      <c r="F80" s="21" t="str">
        <f t="shared" ca="1" si="49"/>
        <v/>
      </c>
      <c r="G80" s="21" t="str">
        <f t="shared" ca="1" si="50"/>
        <v/>
      </c>
      <c r="H80" s="21" t="str">
        <f t="shared" ca="1" si="51"/>
        <v/>
      </c>
      <c r="I80" s="21" t="str">
        <f t="shared" ca="1" si="52"/>
        <v/>
      </c>
      <c r="J80" s="21" t="str">
        <f t="shared" ca="1" si="53"/>
        <v/>
      </c>
      <c r="K80" s="21" t="str">
        <f t="shared" ca="1" si="54"/>
        <v/>
      </c>
      <c r="L80" s="21" t="str">
        <f t="shared" ca="1" si="55"/>
        <v/>
      </c>
      <c r="M80" s="21">
        <f t="shared" ca="1" si="56"/>
        <v>2234827.8692406393</v>
      </c>
      <c r="N80" s="21">
        <f t="shared" ca="1" si="57"/>
        <v>19380676.735580456</v>
      </c>
      <c r="O80" s="21">
        <f t="shared" ca="1" si="58"/>
        <v>19380676.735580456</v>
      </c>
      <c r="P80" s="21">
        <f t="shared" ca="1" si="59"/>
        <v>19380676.735580456</v>
      </c>
      <c r="Q80" s="21">
        <f t="shared" ca="1" si="60"/>
        <v>19380676.735580456</v>
      </c>
      <c r="R80" s="173">
        <f t="shared" ca="1" si="61"/>
        <v>19380676.735580456</v>
      </c>
    </row>
    <row r="81" spans="2:18" x14ac:dyDescent="0.2">
      <c r="C81" s="182">
        <f t="shared" si="45"/>
        <v>11</v>
      </c>
      <c r="D81" s="21" t="str">
        <f t="shared" ca="1" si="47"/>
        <v/>
      </c>
      <c r="E81" s="21" t="str">
        <f t="shared" ca="1" si="48"/>
        <v/>
      </c>
      <c r="F81" s="21" t="str">
        <f t="shared" ca="1" si="49"/>
        <v/>
      </c>
      <c r="G81" s="21" t="str">
        <f t="shared" ca="1" si="50"/>
        <v/>
      </c>
      <c r="H81" s="21" t="str">
        <f t="shared" ca="1" si="51"/>
        <v/>
      </c>
      <c r="I81" s="21" t="str">
        <f t="shared" ca="1" si="52"/>
        <v/>
      </c>
      <c r="J81" s="21" t="str">
        <f t="shared" ca="1" si="53"/>
        <v/>
      </c>
      <c r="K81" s="21" t="str">
        <f t="shared" ca="1" si="54"/>
        <v/>
      </c>
      <c r="L81" s="21" t="str">
        <f t="shared" ca="1" si="55"/>
        <v/>
      </c>
      <c r="M81" s="21" t="str">
        <f t="shared" ca="1" si="56"/>
        <v/>
      </c>
      <c r="N81" s="21">
        <f t="shared" ca="1" si="57"/>
        <v>2280383.752009856</v>
      </c>
      <c r="O81" s="21">
        <f t="shared" ca="1" si="58"/>
        <v>19525737.364916075</v>
      </c>
      <c r="P81" s="21">
        <f t="shared" ca="1" si="59"/>
        <v>19525737.364916075</v>
      </c>
      <c r="Q81" s="21">
        <f t="shared" ca="1" si="60"/>
        <v>19525737.364916075</v>
      </c>
      <c r="R81" s="173">
        <f t="shared" ca="1" si="61"/>
        <v>19525737.364916075</v>
      </c>
    </row>
    <row r="82" spans="2:18" x14ac:dyDescent="0.2">
      <c r="C82" s="182">
        <f t="shared" si="45"/>
        <v>12</v>
      </c>
      <c r="D82" s="21" t="str">
        <f t="shared" ca="1" si="47"/>
        <v/>
      </c>
      <c r="E82" s="21" t="str">
        <f t="shared" ca="1" si="48"/>
        <v/>
      </c>
      <c r="F82" s="21" t="str">
        <f t="shared" ca="1" si="49"/>
        <v/>
      </c>
      <c r="G82" s="21" t="str">
        <f t="shared" ca="1" si="50"/>
        <v/>
      </c>
      <c r="H82" s="21" t="str">
        <f t="shared" ca="1" si="51"/>
        <v/>
      </c>
      <c r="I82" s="21" t="str">
        <f t="shared" ca="1" si="52"/>
        <v/>
      </c>
      <c r="J82" s="21" t="str">
        <f t="shared" ca="1" si="53"/>
        <v/>
      </c>
      <c r="K82" s="21" t="str">
        <f t="shared" ca="1" si="54"/>
        <v/>
      </c>
      <c r="L82" s="21" t="str">
        <f t="shared" ca="1" si="55"/>
        <v/>
      </c>
      <c r="M82" s="21" t="str">
        <f t="shared" ca="1" si="56"/>
        <v/>
      </c>
      <c r="N82" s="21" t="str">
        <f t="shared" ca="1" si="57"/>
        <v/>
      </c>
      <c r="O82" s="21">
        <f t="shared" ca="1" si="58"/>
        <v>2325804.7558091036</v>
      </c>
      <c r="P82" s="21">
        <f t="shared" ca="1" si="59"/>
        <v>19672272.870581765</v>
      </c>
      <c r="Q82" s="21">
        <f t="shared" ca="1" si="60"/>
        <v>19672272.870581765</v>
      </c>
      <c r="R82" s="173">
        <f t="shared" ca="1" si="61"/>
        <v>19672272.870581765</v>
      </c>
    </row>
    <row r="83" spans="2:18" x14ac:dyDescent="0.2">
      <c r="C83" s="182">
        <f t="shared" si="45"/>
        <v>13</v>
      </c>
      <c r="D83" s="21" t="str">
        <f t="shared" ca="1" si="47"/>
        <v/>
      </c>
      <c r="E83" s="21" t="str">
        <f t="shared" ca="1" si="48"/>
        <v/>
      </c>
      <c r="F83" s="21" t="str">
        <f t="shared" ca="1" si="49"/>
        <v/>
      </c>
      <c r="G83" s="21" t="str">
        <f t="shared" ca="1" si="50"/>
        <v/>
      </c>
      <c r="H83" s="21" t="str">
        <f t="shared" ca="1" si="51"/>
        <v/>
      </c>
      <c r="I83" s="21" t="str">
        <f t="shared" ca="1" si="52"/>
        <v/>
      </c>
      <c r="J83" s="21" t="str">
        <f t="shared" ca="1" si="53"/>
        <v/>
      </c>
      <c r="K83" s="21" t="str">
        <f t="shared" ca="1" si="54"/>
        <v/>
      </c>
      <c r="L83" s="21" t="str">
        <f t="shared" ca="1" si="55"/>
        <v/>
      </c>
      <c r="M83" s="21" t="str">
        <f t="shared" ca="1" si="56"/>
        <v/>
      </c>
      <c r="N83" s="21" t="str">
        <f t="shared" ca="1" si="57"/>
        <v/>
      </c>
      <c r="O83" s="21" t="str">
        <f t="shared" ca="1" si="58"/>
        <v/>
      </c>
      <c r="P83" s="21">
        <f t="shared" ca="1" si="59"/>
        <v>2371064.7063823356</v>
      </c>
      <c r="Q83" s="21">
        <f t="shared" ca="1" si="60"/>
        <v>19820363.785711557</v>
      </c>
      <c r="R83" s="173">
        <f t="shared" ca="1" si="61"/>
        <v>19820363.785711557</v>
      </c>
    </row>
    <row r="84" spans="2:18" x14ac:dyDescent="0.2">
      <c r="C84" s="182">
        <f t="shared" si="45"/>
        <v>14</v>
      </c>
      <c r="D84" s="21" t="str">
        <f t="shared" ca="1" si="47"/>
        <v/>
      </c>
      <c r="E84" s="21" t="str">
        <f t="shared" ca="1" si="48"/>
        <v/>
      </c>
      <c r="F84" s="21" t="str">
        <f t="shared" ca="1" si="49"/>
        <v/>
      </c>
      <c r="G84" s="21" t="str">
        <f t="shared" ca="1" si="50"/>
        <v/>
      </c>
      <c r="H84" s="21" t="str">
        <f t="shared" ca="1" si="51"/>
        <v/>
      </c>
      <c r="I84" s="21" t="str">
        <f t="shared" ca="1" si="52"/>
        <v/>
      </c>
      <c r="J84" s="21" t="str">
        <f t="shared" ca="1" si="53"/>
        <v/>
      </c>
      <c r="K84" s="21" t="str">
        <f t="shared" ca="1" si="54"/>
        <v/>
      </c>
      <c r="L84" s="21" t="str">
        <f t="shared" ca="1" si="55"/>
        <v/>
      </c>
      <c r="M84" s="21" t="str">
        <f t="shared" ca="1" si="56"/>
        <v/>
      </c>
      <c r="N84" s="21" t="str">
        <f t="shared" ca="1" si="57"/>
        <v/>
      </c>
      <c r="O84" s="21" t="str">
        <f t="shared" ca="1" si="58"/>
        <v/>
      </c>
      <c r="P84" s="21" t="str">
        <f t="shared" ca="1" si="59"/>
        <v/>
      </c>
      <c r="Q84" s="21">
        <f t="shared" ca="1" si="60"/>
        <v>2416136.3212069622</v>
      </c>
      <c r="R84" s="173">
        <f t="shared" ca="1" si="61"/>
        <v>19970102.801569577</v>
      </c>
    </row>
    <row r="85" spans="2:18" x14ac:dyDescent="0.2">
      <c r="C85" s="183">
        <f t="shared" si="45"/>
        <v>15</v>
      </c>
      <c r="D85" s="112" t="str">
        <f t="shared" ca="1" si="47"/>
        <v/>
      </c>
      <c r="E85" s="112" t="str">
        <f t="shared" ca="1" si="48"/>
        <v/>
      </c>
      <c r="F85" s="112" t="str">
        <f t="shared" ca="1" si="49"/>
        <v/>
      </c>
      <c r="G85" s="112" t="str">
        <f t="shared" ca="1" si="50"/>
        <v/>
      </c>
      <c r="H85" s="112" t="str">
        <f t="shared" ca="1" si="51"/>
        <v/>
      </c>
      <c r="I85" s="112" t="str">
        <f t="shared" ca="1" si="52"/>
        <v/>
      </c>
      <c r="J85" s="112" t="str">
        <f t="shared" ca="1" si="53"/>
        <v/>
      </c>
      <c r="K85" s="112" t="str">
        <f t="shared" ca="1" si="54"/>
        <v/>
      </c>
      <c r="L85" s="112" t="str">
        <f t="shared" ca="1" si="55"/>
        <v/>
      </c>
      <c r="M85" s="112" t="str">
        <f t="shared" ca="1" si="56"/>
        <v/>
      </c>
      <c r="N85" s="112" t="str">
        <f t="shared" ca="1" si="57"/>
        <v/>
      </c>
      <c r="O85" s="112" t="str">
        <f t="shared" ca="1" si="58"/>
        <v/>
      </c>
      <c r="P85" s="112" t="str">
        <f t="shared" ca="1" si="59"/>
        <v/>
      </c>
      <c r="Q85" s="112" t="str">
        <f t="shared" ca="1" si="60"/>
        <v/>
      </c>
      <c r="R85" s="113">
        <f t="shared" ca="1" si="61"/>
        <v>2460991.1716102757</v>
      </c>
    </row>
    <row r="87" spans="2:18" x14ac:dyDescent="0.2">
      <c r="B87" s="32" t="s">
        <v>221</v>
      </c>
    </row>
    <row r="88" spans="2:18" x14ac:dyDescent="0.2">
      <c r="B88" s="19"/>
      <c r="C88" s="167" t="s">
        <v>87</v>
      </c>
      <c r="D88" s="168">
        <f>IF(OR(D$10="",D$10=0),"",D$4)</f>
        <v>1</v>
      </c>
      <c r="E88" s="168">
        <f t="shared" ref="E88:R88" si="62">IF(OR(E$10="",E$10=0),"",E$4)</f>
        <v>2</v>
      </c>
      <c r="F88" s="168">
        <f t="shared" si="62"/>
        <v>3</v>
      </c>
      <c r="G88" s="168">
        <f t="shared" si="62"/>
        <v>4</v>
      </c>
      <c r="H88" s="168">
        <f t="shared" si="62"/>
        <v>5</v>
      </c>
      <c r="I88" s="168">
        <f t="shared" si="62"/>
        <v>6</v>
      </c>
      <c r="J88" s="168">
        <f t="shared" si="62"/>
        <v>7</v>
      </c>
      <c r="K88" s="168">
        <f t="shared" si="62"/>
        <v>8</v>
      </c>
      <c r="L88" s="168">
        <f t="shared" si="62"/>
        <v>9</v>
      </c>
      <c r="M88" s="168">
        <f t="shared" si="62"/>
        <v>10</v>
      </c>
      <c r="N88" s="168">
        <f t="shared" si="62"/>
        <v>11</v>
      </c>
      <c r="O88" s="168">
        <f t="shared" si="62"/>
        <v>12</v>
      </c>
      <c r="P88" s="168">
        <f t="shared" si="62"/>
        <v>13</v>
      </c>
      <c r="Q88" s="168">
        <f t="shared" si="62"/>
        <v>14</v>
      </c>
      <c r="R88" s="169">
        <f t="shared" si="62"/>
        <v>15</v>
      </c>
    </row>
    <row r="89" spans="2:18" x14ac:dyDescent="0.2">
      <c r="B89" s="19"/>
      <c r="C89" s="157" t="s">
        <v>213</v>
      </c>
      <c r="D89" s="174">
        <f>IF(OR(D$88="",D$88=0),"",D$10)</f>
        <v>1852647.4879999999</v>
      </c>
      <c r="E89" s="174">
        <f t="shared" ref="E89:R89" si="63">IF(OR(E$88="",E$88=0),"",E$10)</f>
        <v>2032346.9033066668</v>
      </c>
      <c r="F89" s="174">
        <f t="shared" si="63"/>
        <v>2288952.1855925322</v>
      </c>
      <c r="G89" s="174">
        <f t="shared" si="63"/>
        <v>2311878.5945063084</v>
      </c>
      <c r="H89" s="174">
        <f t="shared" si="63"/>
        <v>2334815.1311371862</v>
      </c>
      <c r="I89" s="174">
        <f t="shared" si="63"/>
        <v>2357752.1037321049</v>
      </c>
      <c r="J89" s="174">
        <f t="shared" si="63"/>
        <v>2380679.3836225397</v>
      </c>
      <c r="K89" s="174">
        <f t="shared" si="63"/>
        <v>2403586.3900134326</v>
      </c>
      <c r="L89" s="174">
        <f t="shared" si="63"/>
        <v>2426462.0742863612</v>
      </c>
      <c r="M89" s="174">
        <f t="shared" si="63"/>
        <v>2449294.9038020289</v>
      </c>
      <c r="N89" s="174">
        <f t="shared" si="63"/>
        <v>2472072.8451866372</v>
      </c>
      <c r="O89" s="174">
        <f t="shared" si="63"/>
        <v>2494783.347086261</v>
      </c>
      <c r="P89" s="174">
        <f t="shared" si="63"/>
        <v>2517413.322372877</v>
      </c>
      <c r="Q89" s="174">
        <f t="shared" si="63"/>
        <v>2539949.1297851903</v>
      </c>
      <c r="R89" s="175">
        <f t="shared" si="63"/>
        <v>2562376.5549868471</v>
      </c>
    </row>
    <row r="90" spans="2:18" x14ac:dyDescent="0.2">
      <c r="B90" s="19"/>
      <c r="C90" s="180" t="s">
        <v>217</v>
      </c>
      <c r="D90" s="176">
        <f>IF(OR(D$88="",D$88=0),"",D$13)</f>
        <v>35382269.046153843</v>
      </c>
      <c r="E90" s="176">
        <f t="shared" ref="E90:R90" si="64">IF(OR(E$88="",E$88=0),"",E$13)</f>
        <v>35845632.111552164</v>
      </c>
      <c r="F90" s="176">
        <f t="shared" si="64"/>
        <v>36474290.539280787</v>
      </c>
      <c r="G90" s="176">
        <f t="shared" si="64"/>
        <v>36588078.316636212</v>
      </c>
      <c r="H90" s="176">
        <f t="shared" si="64"/>
        <v>36701368.444805019</v>
      </c>
      <c r="I90" s="176">
        <f t="shared" si="64"/>
        <v>36814053.963777684</v>
      </c>
      <c r="J90" s="176">
        <f t="shared" si="64"/>
        <v>36926025.259019867</v>
      </c>
      <c r="K90" s="176">
        <f t="shared" si="64"/>
        <v>37037169.951610386</v>
      </c>
      <c r="L90" s="176">
        <f t="shared" si="64"/>
        <v>37147372.786492184</v>
      </c>
      <c r="M90" s="176">
        <f t="shared" si="64"/>
        <v>37256515.518725894</v>
      </c>
      <c r="N90" s="176">
        <f t="shared" si="64"/>
        <v>37364476.79763487</v>
      </c>
      <c r="O90" s="176">
        <f t="shared" si="64"/>
        <v>37471132.0487305</v>
      </c>
      <c r="P90" s="176">
        <f t="shared" si="64"/>
        <v>37576353.353306934</v>
      </c>
      <c r="Q90" s="176">
        <f t="shared" si="64"/>
        <v>37680009.325593397</v>
      </c>
      <c r="R90" s="177">
        <f t="shared" si="64"/>
        <v>37781964.987351075</v>
      </c>
    </row>
    <row r="91" spans="2:18" x14ac:dyDescent="0.2">
      <c r="B91" s="19"/>
      <c r="C91" s="180" t="s">
        <v>216</v>
      </c>
      <c r="D91" s="178">
        <f>IF(D$88=$C$97,SUM(D$89:D$90),D$89)</f>
        <v>1852647.4879999999</v>
      </c>
      <c r="E91" s="178">
        <f t="shared" ref="E91:R91" si="65">IF(E$88=$C$97,SUM(E$89:E$90),E$89)</f>
        <v>2032346.9033066668</v>
      </c>
      <c r="F91" s="178">
        <f t="shared" si="65"/>
        <v>2288952.1855925322</v>
      </c>
      <c r="G91" s="178">
        <f t="shared" si="65"/>
        <v>2311878.5945063084</v>
      </c>
      <c r="H91" s="178">
        <f t="shared" si="65"/>
        <v>2334815.1311371862</v>
      </c>
      <c r="I91" s="178">
        <f t="shared" si="65"/>
        <v>2357752.1037321049</v>
      </c>
      <c r="J91" s="178">
        <f t="shared" si="65"/>
        <v>2380679.3836225397</v>
      </c>
      <c r="K91" s="178">
        <f t="shared" si="65"/>
        <v>2403586.3900134326</v>
      </c>
      <c r="L91" s="178">
        <f t="shared" si="65"/>
        <v>2426462.0742863612</v>
      </c>
      <c r="M91" s="178">
        <f t="shared" si="65"/>
        <v>2449294.9038020289</v>
      </c>
      <c r="N91" s="178">
        <f t="shared" si="65"/>
        <v>2472072.8451866372</v>
      </c>
      <c r="O91" s="178">
        <f t="shared" si="65"/>
        <v>2494783.347086261</v>
      </c>
      <c r="P91" s="178">
        <f t="shared" si="65"/>
        <v>2517413.322372877</v>
      </c>
      <c r="Q91" s="178">
        <f t="shared" si="65"/>
        <v>2539949.1297851903</v>
      </c>
      <c r="R91" s="179">
        <f t="shared" si="65"/>
        <v>40344341.542337924</v>
      </c>
    </row>
    <row r="92" spans="2:18" x14ac:dyDescent="0.2">
      <c r="B92" s="228" t="s">
        <v>220</v>
      </c>
      <c r="C92" s="22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</row>
    <row r="93" spans="2:18" x14ac:dyDescent="0.2">
      <c r="B93" s="226" t="s">
        <v>214</v>
      </c>
      <c r="C93" s="227">
        <f>SUM(D93:R93)</f>
        <v>42321157.108061239</v>
      </c>
      <c r="D93" s="160">
        <f>D91/(1+$C$96)^D88</f>
        <v>1764426.1790476188</v>
      </c>
      <c r="E93" s="161">
        <f t="shared" ref="E93:Q93" si="66">E91/(1+$C$96)^E88</f>
        <v>1843398.5517520786</v>
      </c>
      <c r="F93" s="161">
        <f t="shared" si="66"/>
        <v>1977282.9591556264</v>
      </c>
      <c r="G93" s="161">
        <f t="shared" si="66"/>
        <v>1901988.2411187177</v>
      </c>
      <c r="H93" s="161">
        <f t="shared" si="66"/>
        <v>1829388.7491124717</v>
      </c>
      <c r="I93" s="161">
        <f t="shared" si="66"/>
        <v>1759390.9212572959</v>
      </c>
      <c r="J93" s="161">
        <f t="shared" si="66"/>
        <v>1691904.3909662243</v>
      </c>
      <c r="K93" s="161">
        <f t="shared" si="66"/>
        <v>1626841.8787975269</v>
      </c>
      <c r="L93" s="161">
        <f t="shared" si="66"/>
        <v>1564119.0879493195</v>
      </c>
      <c r="M93" s="161">
        <f t="shared" si="66"/>
        <v>1503654.6032739046</v>
      </c>
      <c r="N93" s="161">
        <f t="shared" si="66"/>
        <v>1445369.7936936098</v>
      </c>
      <c r="O93" s="161">
        <f t="shared" si="66"/>
        <v>1389188.7179038839</v>
      </c>
      <c r="P93" s="161">
        <f t="shared" si="66"/>
        <v>1335038.0332532427</v>
      </c>
      <c r="Q93" s="161">
        <f t="shared" si="66"/>
        <v>1282846.9076933556</v>
      </c>
      <c r="R93" s="162">
        <f>R91/(1+$C$96)^R88</f>
        <v>19406318.093086366</v>
      </c>
    </row>
    <row r="94" spans="2:18" x14ac:dyDescent="0.2">
      <c r="B94" s="158" t="s">
        <v>215</v>
      </c>
      <c r="C94" s="159">
        <f>NPV(C96,D91:R91)</f>
        <v>42321157.108061224</v>
      </c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</row>
    <row r="95" spans="2:18" x14ac:dyDescent="0.2">
      <c r="D95" s="21"/>
    </row>
    <row r="96" spans="2:18" x14ac:dyDescent="0.2">
      <c r="B96" s="164" t="s">
        <v>219</v>
      </c>
      <c r="C96" s="165">
        <f>Discount_Rate</f>
        <v>0.05</v>
      </c>
    </row>
    <row r="97" spans="2:5" x14ac:dyDescent="0.2">
      <c r="B97" s="164" t="s">
        <v>218</v>
      </c>
      <c r="C97" s="166">
        <f>Terminal_Cap_Year</f>
        <v>15</v>
      </c>
      <c r="E97" s="15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B174E-6186-1A4B-AE41-1BC3084BFDB3}">
  <sheetPr>
    <tabColor theme="9" tint="0.59999389629810485"/>
  </sheetPr>
  <dimension ref="B2:V116"/>
  <sheetViews>
    <sheetView tabSelected="1" zoomScaleNormal="100" workbookViewId="0">
      <selection activeCell="G21" sqref="G21"/>
    </sheetView>
  </sheetViews>
  <sheetFormatPr baseColWidth="10" defaultRowHeight="16" x14ac:dyDescent="0.2"/>
  <cols>
    <col min="2" max="2" width="27.5" customWidth="1"/>
    <col min="3" max="3" width="14.6640625" bestFit="1" customWidth="1"/>
    <col min="4" max="4" width="16.6640625" bestFit="1" customWidth="1"/>
    <col min="6" max="6" width="18.5" bestFit="1" customWidth="1"/>
    <col min="7" max="11" width="12.1640625" bestFit="1" customWidth="1"/>
    <col min="12" max="15" width="11.5" bestFit="1" customWidth="1"/>
    <col min="16" max="16" width="12.1640625" bestFit="1" customWidth="1"/>
    <col min="17" max="21" width="11.5" bestFit="1" customWidth="1"/>
  </cols>
  <sheetData>
    <row r="2" spans="2:22" x14ac:dyDescent="0.2">
      <c r="B2" s="43" t="s">
        <v>140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2"/>
    </row>
    <row r="3" spans="2:22" x14ac:dyDescent="0.2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</row>
    <row r="4" spans="2:22" x14ac:dyDescent="0.2">
      <c r="B4" s="122" t="s">
        <v>162</v>
      </c>
      <c r="C4" s="5"/>
      <c r="D4" s="269" t="s">
        <v>56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6"/>
    </row>
    <row r="5" spans="2:22" x14ac:dyDescent="0.2">
      <c r="B5" s="122" t="s">
        <v>204</v>
      </c>
      <c r="C5" s="5"/>
      <c r="D5" s="224" t="s">
        <v>251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6"/>
    </row>
    <row r="6" spans="2:22" ht="17" thickBot="1" x14ac:dyDescent="0.2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6"/>
    </row>
    <row r="7" spans="2:22" x14ac:dyDescent="0.2">
      <c r="B7" s="43" t="s">
        <v>164</v>
      </c>
      <c r="C7" s="190" t="s">
        <v>38</v>
      </c>
      <c r="D7" s="191" t="s">
        <v>39</v>
      </c>
      <c r="E7" s="5"/>
      <c r="F7" s="5"/>
      <c r="G7" s="5"/>
      <c r="H7" s="5"/>
      <c r="I7" s="5"/>
      <c r="J7" s="53" t="s">
        <v>203</v>
      </c>
      <c r="K7" s="56" t="str">
        <f>IF(ROUND(K9,0)=ROUND(K8,0),"OK","Error")</f>
        <v>OK</v>
      </c>
      <c r="L7" s="5"/>
      <c r="M7" s="5"/>
      <c r="N7" s="5"/>
      <c r="O7" s="5"/>
      <c r="P7" s="5"/>
      <c r="Q7" s="5"/>
      <c r="R7" s="5"/>
      <c r="S7" s="5"/>
      <c r="T7" s="5"/>
      <c r="U7" s="5"/>
      <c r="V7" s="6"/>
    </row>
    <row r="8" spans="2:22" x14ac:dyDescent="0.2">
      <c r="B8" s="4" t="s">
        <v>225</v>
      </c>
      <c r="C8" s="234">
        <v>0.1</v>
      </c>
      <c r="D8" s="130">
        <f>Equity_Share_Sponsor*Total_Equity</f>
        <v>1966879.1736615384</v>
      </c>
      <c r="E8" s="131" t="b">
        <f>Equity_Share_Sponsor=1</f>
        <v>0</v>
      </c>
      <c r="F8" s="5"/>
      <c r="G8" s="5"/>
      <c r="H8" s="5"/>
      <c r="I8" s="5"/>
      <c r="J8" s="54" t="s">
        <v>201</v>
      </c>
      <c r="K8" s="57">
        <f>(D27+D41)/1000000</f>
        <v>15.909599896460875</v>
      </c>
      <c r="L8" s="5"/>
      <c r="M8" s="5"/>
      <c r="N8" s="5"/>
      <c r="O8" s="5"/>
      <c r="P8" s="5"/>
      <c r="Q8" s="5"/>
      <c r="R8" s="5"/>
      <c r="S8" s="5"/>
      <c r="T8" s="5"/>
      <c r="U8" s="5"/>
      <c r="V8" s="6"/>
    </row>
    <row r="9" spans="2:22" ht="17" thickBot="1" x14ac:dyDescent="0.25">
      <c r="B9" s="7" t="s">
        <v>226</v>
      </c>
      <c r="C9" s="52">
        <f>1-C8</f>
        <v>0.9</v>
      </c>
      <c r="D9" s="59">
        <f>Equity_Share_LPs*Total_Equity</f>
        <v>17701912.562953845</v>
      </c>
      <c r="E9" s="5"/>
      <c r="F9" s="5"/>
      <c r="G9" s="5"/>
      <c r="H9" s="5"/>
      <c r="I9" s="5"/>
      <c r="J9" s="55" t="s">
        <v>202</v>
      </c>
      <c r="K9" s="58">
        <f>SUM(F48:U48)/1000000</f>
        <v>15.909599896460879</v>
      </c>
      <c r="L9" s="5"/>
      <c r="M9" s="5"/>
      <c r="N9" s="5"/>
      <c r="O9" s="5"/>
      <c r="P9" s="5"/>
      <c r="Q9" s="5"/>
      <c r="R9" s="5"/>
      <c r="S9" s="5"/>
      <c r="T9" s="5"/>
      <c r="U9" s="5"/>
      <c r="V9" s="6"/>
    </row>
    <row r="10" spans="2:22" x14ac:dyDescent="0.2">
      <c r="B10" s="4" t="s">
        <v>165</v>
      </c>
      <c r="C10" s="132">
        <f>SUM(C8:C9)</f>
        <v>1</v>
      </c>
      <c r="D10" s="130">
        <f>-SUMIF(F51:U51,"&lt;0")</f>
        <v>19668791.736615382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6"/>
    </row>
    <row r="11" spans="2:22" x14ac:dyDescent="0.2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6"/>
    </row>
    <row r="12" spans="2:22" x14ac:dyDescent="0.2">
      <c r="B12" s="192"/>
      <c r="C12" s="95"/>
      <c r="D12" s="95"/>
      <c r="E12" s="95"/>
      <c r="F12" s="211" t="s">
        <v>178</v>
      </c>
      <c r="G12" s="211"/>
      <c r="H12" s="213" t="s">
        <v>181</v>
      </c>
      <c r="I12" s="213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6"/>
    </row>
    <row r="13" spans="2:22" x14ac:dyDescent="0.2">
      <c r="B13" s="187" t="str">
        <f>"Promote Structure ("&amp;$D$4&amp;" Hurdles)"</f>
        <v>Promote Structure (IRR Hurdles)</v>
      </c>
      <c r="C13" s="188"/>
      <c r="D13" s="188"/>
      <c r="E13" s="188"/>
      <c r="F13" s="212"/>
      <c r="G13" s="212"/>
      <c r="H13" s="189" t="s">
        <v>179</v>
      </c>
      <c r="I13" s="189" t="s">
        <v>180</v>
      </c>
      <c r="J13" s="189" t="s">
        <v>186</v>
      </c>
      <c r="K13" s="189" t="s">
        <v>253</v>
      </c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93"/>
    </row>
    <row r="14" spans="2:22" x14ac:dyDescent="0.2">
      <c r="B14" s="4" t="s">
        <v>48</v>
      </c>
      <c r="C14" s="133" t="s">
        <v>60</v>
      </c>
      <c r="D14" s="133" t="s">
        <v>166</v>
      </c>
      <c r="E14" s="131">
        <f>IF($D$4="EM",C15,D15)</f>
        <v>0.08</v>
      </c>
      <c r="F14" s="134" t="s">
        <v>52</v>
      </c>
      <c r="G14" s="5"/>
      <c r="H14" s="17">
        <f>Equity_Share_Sponsor</f>
        <v>0.1</v>
      </c>
      <c r="I14" s="17">
        <f>1-H14</f>
        <v>0.9</v>
      </c>
      <c r="J14" s="17">
        <f>SUM(H14:I14)</f>
        <v>1</v>
      </c>
      <c r="K14" s="5" t="str">
        <f>IF(I14=Equity_Share_LPs,"Pref pro rata to LP/GP, then pro rata return of capital","Return of capital and pref NOT pro rata")</f>
        <v>Pref pro rata to LP/GP, then pro rata return of capital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6"/>
    </row>
    <row r="15" spans="2:22" x14ac:dyDescent="0.2">
      <c r="B15" s="4" t="s">
        <v>49</v>
      </c>
      <c r="C15" s="135">
        <v>1.1499999999999999</v>
      </c>
      <c r="D15" s="268">
        <v>0.08</v>
      </c>
      <c r="E15" s="131">
        <f t="shared" ref="E15:E16" si="0">IF($D$4="EM",C16,D16)</f>
        <v>0.12</v>
      </c>
      <c r="F15" s="241">
        <v>0.1</v>
      </c>
      <c r="G15" s="5"/>
      <c r="H15" s="17">
        <f>1-(Equity_Share_LPs*(1-F15))</f>
        <v>0.18999999999999995</v>
      </c>
      <c r="I15" s="17">
        <f t="shared" ref="I15:I17" si="1">1-H15</f>
        <v>0.81</v>
      </c>
      <c r="J15" s="17">
        <f t="shared" ref="J15:J17" si="2">SUM(H15:I15)</f>
        <v>1</v>
      </c>
      <c r="K15" s="5" t="str">
        <f>IF(Equity_Share_Sponsor&lt;&gt;H14,TEXT(I14,"0.00%")&amp;"/"&amp;TEXT(H14,"0.00%")&amp;" to "&amp;(IF(D4="IRR",TEXT(E14,"0.00%"),TEXT(E14,"0.00x")))&amp;", then "&amp;TEXT(I15,"0.00%")&amp;"/"&amp;TEXT(H15,"0.00%")&amp;" to "&amp;(IF(D4="IRR",TEXT(E15,"0.00%"),TEXT(E15,"0.00x"))),"Pro rata to LP/GP to "&amp;(IF(D4="IRR",TEXT(E14,"0.00%"),TEXT(E14,"0.00x")))&amp;", then "&amp;TEXT(I15,"0.00%")&amp;"/"&amp;TEXT(H15,"0.00%")&amp;" to "&amp;(IF(D4="IRR",TEXT(E15,"0.00%"),TEXT(E15,"0.00x"))))</f>
        <v>Pro rata to LP/GP to 8.00%, then 81.00%/19.00% to 12.00%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6"/>
    </row>
    <row r="16" spans="2:22" x14ac:dyDescent="0.2">
      <c r="B16" s="4" t="s">
        <v>51</v>
      </c>
      <c r="C16" s="135">
        <v>1.3</v>
      </c>
      <c r="D16" s="268">
        <v>0.12</v>
      </c>
      <c r="E16" s="131">
        <f t="shared" si="0"/>
        <v>0.15</v>
      </c>
      <c r="F16" s="241">
        <v>0.12</v>
      </c>
      <c r="G16" s="5"/>
      <c r="H16" s="17">
        <f>1-(Equity_Share_LPs*(1-F16))</f>
        <v>0.20799999999999996</v>
      </c>
      <c r="I16" s="17">
        <f t="shared" si="1"/>
        <v>0.79200000000000004</v>
      </c>
      <c r="J16" s="17">
        <f t="shared" si="2"/>
        <v>1</v>
      </c>
      <c r="K16" s="5" t="str">
        <f>TEXT(I15,"0.00%")&amp;"/"&amp;TEXT(H15,"0.00%")&amp;" to "&amp;(IF(D4="IRR",TEXT(E15,"0.00%"),TEXT(E15,"0.00x")))&amp;", then "&amp;TEXT(I16,"0.00%")&amp;"/"&amp;TEXT(H16,"0.00%")&amp;" to "&amp;(IF(D4="IRR",TEXT(E16,"0.00%"),TEXT(E16,"0.00x")))</f>
        <v>81.00%/19.00% to 12.00%, then 79.20%/20.80% to 15.00%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6"/>
    </row>
    <row r="17" spans="2:22" x14ac:dyDescent="0.2">
      <c r="B17" s="4" t="s">
        <v>50</v>
      </c>
      <c r="C17" s="135">
        <v>1.45</v>
      </c>
      <c r="D17" s="268">
        <v>0.15</v>
      </c>
      <c r="E17" s="5"/>
      <c r="F17" s="241">
        <v>0.15</v>
      </c>
      <c r="G17" s="5"/>
      <c r="H17" s="17">
        <f>1-(Equity_Share_LPs*(1-F17))</f>
        <v>0.23499999999999999</v>
      </c>
      <c r="I17" s="17">
        <f t="shared" si="1"/>
        <v>0.76500000000000001</v>
      </c>
      <c r="J17" s="17">
        <f t="shared" si="2"/>
        <v>1</v>
      </c>
      <c r="K17" s="5" t="str">
        <f>TEXT(I16,"0.00%")&amp;"/"&amp;TEXT(H16,"0.00%")&amp;" to "&amp;(IF(D4="IRR",TEXT(E16,"0.00%"),TEXT(E16,"0.00x")))&amp;", then "&amp;TEXT(I17,"0.00%")&amp;"/"&amp;TEXT(H17,"0.00%")&amp;" thereafter"</f>
        <v>79.20%/20.80% to 15.00%, then 76.50%/23.50% thereafter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6"/>
    </row>
    <row r="18" spans="2:22" x14ac:dyDescent="0.2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6"/>
    </row>
    <row r="19" spans="2:22" x14ac:dyDescent="0.2">
      <c r="B19" s="43" t="s">
        <v>227</v>
      </c>
      <c r="C19" s="46"/>
      <c r="D19" s="46"/>
      <c r="E19" s="46"/>
      <c r="F19" s="186">
        <v>0</v>
      </c>
      <c r="G19" s="186">
        <f t="shared" ref="G19:U19" si="3">IF(OR(F$19="",F$19=Effective_Hold_Period),"",F$19+1)</f>
        <v>1</v>
      </c>
      <c r="H19" s="186">
        <f t="shared" si="3"/>
        <v>2</v>
      </c>
      <c r="I19" s="186">
        <f t="shared" si="3"/>
        <v>3</v>
      </c>
      <c r="J19" s="186">
        <f t="shared" si="3"/>
        <v>4</v>
      </c>
      <c r="K19" s="186">
        <f t="shared" si="3"/>
        <v>5</v>
      </c>
      <c r="L19" s="186">
        <f t="shared" si="3"/>
        <v>6</v>
      </c>
      <c r="M19" s="186">
        <f t="shared" si="3"/>
        <v>7</v>
      </c>
      <c r="N19" s="186">
        <f t="shared" si="3"/>
        <v>8</v>
      </c>
      <c r="O19" s="186">
        <f t="shared" si="3"/>
        <v>9</v>
      </c>
      <c r="P19" s="186">
        <f t="shared" si="3"/>
        <v>10</v>
      </c>
      <c r="Q19" s="186">
        <f t="shared" si="3"/>
        <v>11</v>
      </c>
      <c r="R19" s="186">
        <f t="shared" si="3"/>
        <v>12</v>
      </c>
      <c r="S19" s="186">
        <f t="shared" si="3"/>
        <v>13</v>
      </c>
      <c r="T19" s="186">
        <f t="shared" si="3"/>
        <v>14</v>
      </c>
      <c r="U19" s="186">
        <f t="shared" si="3"/>
        <v>15</v>
      </c>
      <c r="V19" s="42"/>
    </row>
    <row r="20" spans="2:22" x14ac:dyDescent="0.2">
      <c r="B20" s="198" t="s">
        <v>167</v>
      </c>
      <c r="C20" s="221" t="s">
        <v>250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6"/>
    </row>
    <row r="21" spans="2:22" x14ac:dyDescent="0.2">
      <c r="B21" s="4" t="s">
        <v>222</v>
      </c>
      <c r="C21" s="222" t="str">
        <f>IF(ROUND(D21,0)=ROUND(SUM(F21:U21),0),"OK","ERROR")</f>
        <v>OK</v>
      </c>
      <c r="D21" s="22">
        <f>(Promote_Method="IRR")*(SUM($F$78:$U$78)-D22)+(Promote_Method="EM")*(SUM($F$78:$U$78)-D22)</f>
        <v>-2953070.5506895743</v>
      </c>
      <c r="E21" s="5"/>
      <c r="F21" s="22">
        <f>IF(F$19="","",0)</f>
        <v>0</v>
      </c>
      <c r="G21" s="22">
        <f>IF(G$19="","",MIN($D21-SUM($F$21:F$21),G$25))</f>
        <v>-2953070.5506895743</v>
      </c>
      <c r="H21" s="22">
        <f>IF(H$19="","",MIN($D21-SUM($F$21:G$21),H$25))</f>
        <v>0</v>
      </c>
      <c r="I21" s="22">
        <f>IF(I$19="","",MIN($D21-SUM($F$21:H$21),I$25))</f>
        <v>0</v>
      </c>
      <c r="J21" s="22">
        <f>IF(J$19="","",MIN($D21-SUM($F$21:I$21),J$25))</f>
        <v>0</v>
      </c>
      <c r="K21" s="22">
        <f>IF(K$19="","",MIN($D21-SUM($F$21:J$21),K$25))</f>
        <v>0</v>
      </c>
      <c r="L21" s="22">
        <f>IF(L$19="","",MIN($D21-SUM($F$21:K$21),L$25))</f>
        <v>0</v>
      </c>
      <c r="M21" s="22">
        <f>IF(M$19="","",MIN($D21-SUM($F$21:L$21),M$25))</f>
        <v>0</v>
      </c>
      <c r="N21" s="22">
        <f>IF(N$19="","",MIN($D21-SUM($F$21:M$21),N$25))</f>
        <v>0</v>
      </c>
      <c r="O21" s="22">
        <f>IF(O$19="","",MIN($D21-SUM($F$21:N$21),O$25))</f>
        <v>0</v>
      </c>
      <c r="P21" s="22">
        <f>IF(P$19="","",MIN($D21-SUM($F$21:O$21),P$25))</f>
        <v>0</v>
      </c>
      <c r="Q21" s="22">
        <f>IF(Q$19="","",MIN($D21-SUM($F$21:P$21),Q$25))</f>
        <v>0</v>
      </c>
      <c r="R21" s="22">
        <f>IF(R$19="","",MIN($D21-SUM($F$21:Q$21),R$25))</f>
        <v>0</v>
      </c>
      <c r="S21" s="22">
        <f>IF(S$19="","",MIN($D21-SUM($F$21:R$21),S$25))</f>
        <v>0</v>
      </c>
      <c r="T21" s="22">
        <f>IF(T$19="","",MIN($D21-SUM($F$21:S$21),T$25))</f>
        <v>0</v>
      </c>
      <c r="U21" s="22">
        <f>IF(U$19="","",MIN($D21-SUM($F$21:T$21),U$25))</f>
        <v>0</v>
      </c>
      <c r="V21" s="6"/>
    </row>
    <row r="22" spans="2:22" x14ac:dyDescent="0.2">
      <c r="B22" s="4" t="s">
        <v>163</v>
      </c>
      <c r="C22" s="222" t="str">
        <f t="shared" ref="C22:C23" si="4">IF(ROUND(D22,0)=ROUND(SUM(F22:U22),0),"OK","ERROR")</f>
        <v>OK</v>
      </c>
      <c r="D22" s="22">
        <f>MIN(D25,D26)</f>
        <v>17701912.562953845</v>
      </c>
      <c r="E22" s="5"/>
      <c r="F22" s="22">
        <f>IF(F$19="","",0)</f>
        <v>0</v>
      </c>
      <c r="G22" s="22">
        <f>IF(G$19="","",MIN($D22-SUM($F$22:F$22),G$25-G$21))</f>
        <v>3403760.4176260359</v>
      </c>
      <c r="H22" s="22">
        <f>IF(H$19="","",MIN($D22-SUM($F$22:G$22),H$25-H$21))</f>
        <v>612419.34071246185</v>
      </c>
      <c r="I22" s="22">
        <f>IF(I$19="","",MIN($D22-SUM($F$22:H$22),I$25-I$21))</f>
        <v>843364.09476974071</v>
      </c>
      <c r="J22" s="22">
        <f>IF(J$19="","",MIN($D22-SUM($F$22:I$22),J$25-J$21))</f>
        <v>863997.86279213929</v>
      </c>
      <c r="K22" s="22">
        <f>IF(K$19="","",MIN($D22-SUM($F$22:J$22),K$25-K$21))</f>
        <v>884640.7457599293</v>
      </c>
      <c r="L22" s="22">
        <f>IF(L$19="","",MIN($D22-SUM($F$22:K$22),L$25-L$21))</f>
        <v>905284.02109535609</v>
      </c>
      <c r="M22" s="22">
        <f>IF(M$19="","",MIN($D22-SUM($F$22:L$22),M$25-M$21))</f>
        <v>925918.57299674745</v>
      </c>
      <c r="N22" s="22">
        <f>IF(N$19="","",MIN($D22-SUM($F$22:M$22),N$25-N$21))</f>
        <v>946534.87874855101</v>
      </c>
      <c r="O22" s="22">
        <f>IF(O$19="","",MIN($D22-SUM($F$22:N$22),O$25-O$21))</f>
        <v>967122.99459418678</v>
      </c>
      <c r="P22" s="22">
        <f>IF(P$19="","",MIN($D22-SUM($F$22:O$22),P$25-P$21))</f>
        <v>987672.54115828767</v>
      </c>
      <c r="Q22" s="22">
        <f>IF(Q$19="","",MIN($D22-SUM($F$22:P$22),Q$25-Q$21))</f>
        <v>1008172.6884044353</v>
      </c>
      <c r="R22" s="22">
        <f>IF(R$19="","",MIN($D22-SUM($F$22:Q$22),R$25-R$21))</f>
        <v>1028612.1401140967</v>
      </c>
      <c r="S22" s="22">
        <f>IF(S$19="","",MIN($D22-SUM($F$22:R$22),S$25-S$21))</f>
        <v>1048979.117872051</v>
      </c>
      <c r="T22" s="22">
        <f>IF(T$19="","",MIN($D22-SUM($F$22:S$22),T$25-T$21))</f>
        <v>1069261.3445431329</v>
      </c>
      <c r="U22" s="22">
        <f>IF(U$19="","",MIN($D22-SUM($F$22:T$22),U$25-U$21))</f>
        <v>2206171.8017666936</v>
      </c>
      <c r="V22" s="6"/>
    </row>
    <row r="23" spans="2:22" x14ac:dyDescent="0.2">
      <c r="B23" s="4" t="s">
        <v>228</v>
      </c>
      <c r="C23" s="222" t="str">
        <f t="shared" si="4"/>
        <v>OK</v>
      </c>
      <c r="D23" s="22">
        <f>D25-D22-D21</f>
        <v>15158567.265001591</v>
      </c>
      <c r="E23" s="5"/>
      <c r="F23" s="22">
        <f>IF(F$19="","",0)</f>
        <v>0</v>
      </c>
      <c r="G23" s="22">
        <f>IF(G$19="","",G$25-G$22-G$21)</f>
        <v>0</v>
      </c>
      <c r="H23" s="22">
        <f t="shared" ref="H23:U23" si="5">IF(H$19="","",H$25-H$22-H$21)</f>
        <v>0</v>
      </c>
      <c r="I23" s="22">
        <f t="shared" si="5"/>
        <v>0</v>
      </c>
      <c r="J23" s="22">
        <f t="shared" si="5"/>
        <v>0</v>
      </c>
      <c r="K23" s="22">
        <f t="shared" si="5"/>
        <v>0</v>
      </c>
      <c r="L23" s="22">
        <f t="shared" si="5"/>
        <v>0</v>
      </c>
      <c r="M23" s="22">
        <f t="shared" si="5"/>
        <v>0</v>
      </c>
      <c r="N23" s="22">
        <f t="shared" si="5"/>
        <v>0</v>
      </c>
      <c r="O23" s="22">
        <f t="shared" si="5"/>
        <v>0</v>
      </c>
      <c r="P23" s="22">
        <f t="shared" si="5"/>
        <v>0</v>
      </c>
      <c r="Q23" s="22">
        <f t="shared" si="5"/>
        <v>0</v>
      </c>
      <c r="R23" s="22">
        <f t="shared" si="5"/>
        <v>0</v>
      </c>
      <c r="S23" s="22">
        <f t="shared" si="5"/>
        <v>0</v>
      </c>
      <c r="T23" s="22">
        <f t="shared" si="5"/>
        <v>0</v>
      </c>
      <c r="U23" s="22">
        <f t="shared" si="5"/>
        <v>15158567.265001591</v>
      </c>
      <c r="V23" s="6"/>
    </row>
    <row r="24" spans="2:22" x14ac:dyDescent="0.2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6"/>
    </row>
    <row r="25" spans="2:22" x14ac:dyDescent="0.2">
      <c r="B25" s="4" t="s">
        <v>168</v>
      </c>
      <c r="C25" s="5"/>
      <c r="D25" s="22">
        <f>SUM(F25:U25)</f>
        <v>29907409.277265862</v>
      </c>
      <c r="E25" s="5"/>
      <c r="F25" s="22">
        <f>IF(F$19="","",IF(GP_Only_No_LPs,0,F$78+F$91+F$104+F$112))</f>
        <v>0</v>
      </c>
      <c r="G25" s="22">
        <f>IF(G$19="","",IF(GP_Only_No_LPs,0,G$78+G$91+G$104+G$112))</f>
        <v>450689.86693646159</v>
      </c>
      <c r="H25" s="22">
        <f>IF(H$19="","",IF(GP_Only_No_LPs,0,H$78+H$91+H$104+H$112))</f>
        <v>612419.34071246185</v>
      </c>
      <c r="I25" s="22">
        <f>IF(I$19="","",IF(GP_Only_No_LPs,0,I$78+I$91+I$104+I$112))</f>
        <v>843364.09476974071</v>
      </c>
      <c r="J25" s="22">
        <f>IF(J$19="","",IF(GP_Only_No_LPs,0,J$78+J$91+J$104+J$112))</f>
        <v>863997.86279213929</v>
      </c>
      <c r="K25" s="22">
        <f>IF(K$19="","",IF(GP_Only_No_LPs,0,K$78+K$91+K$104+K$112))</f>
        <v>884640.7457599293</v>
      </c>
      <c r="L25" s="22">
        <f>IF(L$19="","",IF(GP_Only_No_LPs,0,L$78+L$91+L$104+L$112))</f>
        <v>905284.02109535609</v>
      </c>
      <c r="M25" s="22">
        <f>IF(M$19="","",IF(GP_Only_No_LPs,0,M$78+M$91+M$104+M$112))</f>
        <v>925918.57299674745</v>
      </c>
      <c r="N25" s="22">
        <f>IF(N$19="","",IF(GP_Only_No_LPs,0,N$78+N$91+N$104+N$112))</f>
        <v>946534.87874855101</v>
      </c>
      <c r="O25" s="22">
        <f>IF(O$19="","",IF(GP_Only_No_LPs,0,O$78+O$91+O$104+O$112))</f>
        <v>967122.99459418678</v>
      </c>
      <c r="P25" s="22">
        <f>IF(P$19="","",IF(GP_Only_No_LPs,0,P$78+P$91+P$104+P$112))</f>
        <v>987672.54115828767</v>
      </c>
      <c r="Q25" s="22">
        <f>IF(Q$19="","",IF(GP_Only_No_LPs,0,Q$78+Q$91+Q$104+Q$112))</f>
        <v>1008172.6884044353</v>
      </c>
      <c r="R25" s="22">
        <f>IF(R$19="","",IF(GP_Only_No_LPs,0,R$78+R$91+R$104+R$112))</f>
        <v>1028612.1401140967</v>
      </c>
      <c r="S25" s="22">
        <f>IF(S$19="","",IF(GP_Only_No_LPs,0,S$78+S$91+S$104+S$112))</f>
        <v>1048979.117872051</v>
      </c>
      <c r="T25" s="22">
        <f>IF(T$19="","",IF(GP_Only_No_LPs,0,T$78+T$91+T$104+T$112))</f>
        <v>1069261.3445431329</v>
      </c>
      <c r="U25" s="22">
        <f>IF(U$19="","",IF(GP_Only_No_LPs,0,U$78+U$91+U$104+U$112))</f>
        <v>17364739.066768285</v>
      </c>
      <c r="V25" s="6"/>
    </row>
    <row r="26" spans="2:22" x14ac:dyDescent="0.2">
      <c r="B26" s="4" t="s">
        <v>169</v>
      </c>
      <c r="C26" s="5"/>
      <c r="D26" s="22">
        <f>SUM(F26:U26)</f>
        <v>17701912.562953845</v>
      </c>
      <c r="E26" s="5"/>
      <c r="F26" s="22">
        <f>IF(F$19="","",F$60)</f>
        <v>17701912.562953845</v>
      </c>
      <c r="G26" s="22">
        <f t="shared" ref="G26:U26" si="6">IF(G$19="","",G$60)</f>
        <v>0</v>
      </c>
      <c r="H26" s="22">
        <f t="shared" si="6"/>
        <v>0</v>
      </c>
      <c r="I26" s="22">
        <f t="shared" si="6"/>
        <v>0</v>
      </c>
      <c r="J26" s="22">
        <f t="shared" si="6"/>
        <v>0</v>
      </c>
      <c r="K26" s="22">
        <f t="shared" si="6"/>
        <v>0</v>
      </c>
      <c r="L26" s="22">
        <f t="shared" si="6"/>
        <v>0</v>
      </c>
      <c r="M26" s="22">
        <f t="shared" si="6"/>
        <v>0</v>
      </c>
      <c r="N26" s="22">
        <f t="shared" si="6"/>
        <v>0</v>
      </c>
      <c r="O26" s="22">
        <f t="shared" si="6"/>
        <v>0</v>
      </c>
      <c r="P26" s="22">
        <f t="shared" si="6"/>
        <v>0</v>
      </c>
      <c r="Q26" s="22">
        <f t="shared" si="6"/>
        <v>0</v>
      </c>
      <c r="R26" s="22">
        <f t="shared" si="6"/>
        <v>0</v>
      </c>
      <c r="S26" s="22">
        <f t="shared" si="6"/>
        <v>0</v>
      </c>
      <c r="T26" s="22">
        <f t="shared" si="6"/>
        <v>0</v>
      </c>
      <c r="U26" s="22">
        <f t="shared" si="6"/>
        <v>0</v>
      </c>
      <c r="V26" s="6"/>
    </row>
    <row r="27" spans="2:22" x14ac:dyDescent="0.2">
      <c r="B27" s="4" t="s">
        <v>170</v>
      </c>
      <c r="C27" s="5"/>
      <c r="D27" s="22">
        <f>D25-D26</f>
        <v>12205496.714312017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6"/>
    </row>
    <row r="28" spans="2:22" x14ac:dyDescent="0.2">
      <c r="B28" s="4"/>
      <c r="C28" s="5"/>
      <c r="D28" s="22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6"/>
    </row>
    <row r="29" spans="2:22" x14ac:dyDescent="0.2">
      <c r="B29" s="4" t="s">
        <v>171</v>
      </c>
      <c r="C29" s="5"/>
      <c r="D29" s="17">
        <f>IF(GP_Only_No_LPs,"N/A",IF(AND(MIN(F$29:U$29)&lt;0,MAX(F$29:U$29)&gt;0),IRR(F$29:U$29),"-"))</f>
        <v>4.5842650134712448E-2</v>
      </c>
      <c r="E29" s="5"/>
      <c r="F29" s="22">
        <f t="shared" ref="F29:U29" si="7">IF(F$19="","",-F$26+F$25)</f>
        <v>-17701912.562953845</v>
      </c>
      <c r="G29" s="22">
        <f t="shared" si="7"/>
        <v>450689.86693646159</v>
      </c>
      <c r="H29" s="22">
        <f t="shared" si="7"/>
        <v>612419.34071246185</v>
      </c>
      <c r="I29" s="22">
        <f t="shared" si="7"/>
        <v>843364.09476974071</v>
      </c>
      <c r="J29" s="22">
        <f t="shared" si="7"/>
        <v>863997.86279213929</v>
      </c>
      <c r="K29" s="22">
        <f t="shared" si="7"/>
        <v>884640.7457599293</v>
      </c>
      <c r="L29" s="22">
        <f t="shared" si="7"/>
        <v>905284.02109535609</v>
      </c>
      <c r="M29" s="22">
        <f t="shared" si="7"/>
        <v>925918.57299674745</v>
      </c>
      <c r="N29" s="22">
        <f t="shared" si="7"/>
        <v>946534.87874855101</v>
      </c>
      <c r="O29" s="22">
        <f t="shared" si="7"/>
        <v>967122.99459418678</v>
      </c>
      <c r="P29" s="22">
        <f t="shared" si="7"/>
        <v>987672.54115828767</v>
      </c>
      <c r="Q29" s="22">
        <f t="shared" si="7"/>
        <v>1008172.6884044353</v>
      </c>
      <c r="R29" s="22">
        <f t="shared" si="7"/>
        <v>1028612.1401140967</v>
      </c>
      <c r="S29" s="22">
        <f t="shared" si="7"/>
        <v>1048979.117872051</v>
      </c>
      <c r="T29" s="22">
        <f t="shared" si="7"/>
        <v>1069261.3445431329</v>
      </c>
      <c r="U29" s="22">
        <f t="shared" si="7"/>
        <v>17364739.066768285</v>
      </c>
      <c r="V29" s="6"/>
    </row>
    <row r="30" spans="2:22" x14ac:dyDescent="0.2">
      <c r="B30" s="4" t="s">
        <v>172</v>
      </c>
      <c r="C30" s="5"/>
      <c r="D30" s="48">
        <f>IF(GP_Only_No_LPs,"N/A",D25/D26)</f>
        <v>1.6895015818717465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6"/>
    </row>
    <row r="31" spans="2:22" x14ac:dyDescent="0.2"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6"/>
    </row>
    <row r="32" spans="2:22" x14ac:dyDescent="0.2">
      <c r="B32" s="198" t="s">
        <v>229</v>
      </c>
      <c r="C32" s="221" t="s">
        <v>250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6"/>
    </row>
    <row r="33" spans="2:22" x14ac:dyDescent="0.2">
      <c r="B33" s="4" t="s">
        <v>222</v>
      </c>
      <c r="C33" s="223" t="str">
        <f>IF(ROUND(D33,0)=ROUND(SUM(F33:U33),0),"OK","ERROR")</f>
        <v>OK</v>
      </c>
      <c r="D33" s="123">
        <f>(Promote_Method="IRR")*(SUM($F$79:$U$79)-D34)+(Promote_Method="EM")*(SUM($F$79:$U$79)-D34)</f>
        <v>-328118.95007661916</v>
      </c>
      <c r="E33" s="5"/>
      <c r="F33" s="22">
        <f>IF(F$19="","",0)</f>
        <v>0</v>
      </c>
      <c r="G33" s="22">
        <f>IF(G$19="","",MIN($D$33-SUM($F$33:F$33),G$38))</f>
        <v>-328118.95007661916</v>
      </c>
      <c r="H33" s="22">
        <f>IF(H$19="","",MIN($D$33-SUM($F$33:G$33),H$38))</f>
        <v>0</v>
      </c>
      <c r="I33" s="22">
        <f>IF(I$19="","",MIN($D$33-SUM($F$33:H$33),I$38))</f>
        <v>0</v>
      </c>
      <c r="J33" s="22">
        <f>IF(J$19="","",MIN($D$33-SUM($F$33:I$33),J$38))</f>
        <v>0</v>
      </c>
      <c r="K33" s="22">
        <f>IF(K$19="","",MIN($D$33-SUM($F$33:J$33),K$38))</f>
        <v>0</v>
      </c>
      <c r="L33" s="22">
        <f>IF(L$19="","",MIN($D$33-SUM($F$33:K$33),L$38))</f>
        <v>0</v>
      </c>
      <c r="M33" s="22">
        <f>IF(M$19="","",MIN($D$33-SUM($F$33:L$33),M$38))</f>
        <v>0</v>
      </c>
      <c r="N33" s="22">
        <f>IF(N$19="","",MIN($D$33-SUM($F$33:M$33),N$38))</f>
        <v>0</v>
      </c>
      <c r="O33" s="22">
        <f>IF(O$19="","",MIN($D$33-SUM($F$33:N$33),O$38))</f>
        <v>0</v>
      </c>
      <c r="P33" s="22">
        <f>IF(P$19="","",MIN($D$33-SUM($F$33:O$33),P$38))</f>
        <v>0</v>
      </c>
      <c r="Q33" s="22">
        <f>IF(Q$19="","",MIN($D$33-SUM($F$33:P$33),Q$38))</f>
        <v>0</v>
      </c>
      <c r="R33" s="22">
        <f>IF(R$19="","",MIN($D$33-SUM($F$33:Q$33),R$38))</f>
        <v>0</v>
      </c>
      <c r="S33" s="22">
        <f>IF(S$19="","",MIN($D$33-SUM($F$33:R$33),S$38))</f>
        <v>0</v>
      </c>
      <c r="T33" s="22">
        <f>IF(T$19="","",MIN($D$33-SUM($F$33:S$33),T$38))</f>
        <v>0</v>
      </c>
      <c r="U33" s="22">
        <f>IF(U$19="","",MIN($D$33-SUM($F$33:T$33),U$38))</f>
        <v>0</v>
      </c>
      <c r="V33" s="6"/>
    </row>
    <row r="34" spans="2:22" x14ac:dyDescent="0.2">
      <c r="B34" s="4" t="s">
        <v>163</v>
      </c>
      <c r="C34" s="223" t="str">
        <f t="shared" ref="C34:C36" si="8">IF(ROUND(D34,0)=ROUND(SUM(F34:U34),0),"OK","ERROR")</f>
        <v>OK</v>
      </c>
      <c r="D34" s="22">
        <f>MIN(D38,D40)</f>
        <v>1966879.1736615384</v>
      </c>
      <c r="E34" s="5"/>
      <c r="F34" s="22">
        <f t="shared" ref="F34:F36" si="9">IF(F$19="","",0)</f>
        <v>0</v>
      </c>
      <c r="G34" s="22">
        <f>IF(G$19="","",MIN($D$34-SUM($F$34:F$34),G$38-G$33))</f>
        <v>378195.60195844824</v>
      </c>
      <c r="H34" s="22">
        <f>IF(H$19="","",MIN($D$34-SUM($F$34:G$34),H$38-H$33))</f>
        <v>68046.593412495771</v>
      </c>
      <c r="I34" s="22">
        <f>IF(I$19="","",MIN($D$34-SUM($F$34:H$34),I$38-I$33))</f>
        <v>93707.121641082296</v>
      </c>
      <c r="J34" s="22">
        <f>IF(J$19="","",MIN($D$34-SUM($F$34:I$34),J$38-J$33))</f>
        <v>95999.762532459921</v>
      </c>
      <c r="K34" s="22">
        <f>IF(K$19="","",MIN($D$34-SUM($F$34:J$34),K$38-K$33))</f>
        <v>98293.416195547703</v>
      </c>
      <c r="L34" s="22">
        <f>IF(L$19="","",MIN($D$34-SUM($F$34:K$34),L$38-L$33))</f>
        <v>100587.11345503957</v>
      </c>
      <c r="M34" s="22">
        <f>IF(M$19="","",MIN($D$34-SUM($F$34:L$34),M$38-M$33))</f>
        <v>102879.84144408305</v>
      </c>
      <c r="N34" s="22">
        <f>IF(N$19="","",MIN($D$34-SUM($F$34:M$34),N$38-N$33))</f>
        <v>105170.54208317235</v>
      </c>
      <c r="O34" s="22">
        <f>IF(O$19="","",MIN($D$34-SUM($F$34:N$34),O$38-O$33))</f>
        <v>107458.11051046521</v>
      </c>
      <c r="P34" s="22">
        <f>IF(P$19="","",MIN($D$34-SUM($F$34:O$34),P$38-P$33))</f>
        <v>109741.39346203196</v>
      </c>
      <c r="Q34" s="22">
        <f>IF(Q$19="","",MIN($D$34-SUM($F$34:P$34),Q$38-Q$33))</f>
        <v>112019.18760049281</v>
      </c>
      <c r="R34" s="22">
        <f>IF(R$19="","",MIN($D$34-SUM($F$34:Q$34),R$38-R$33))</f>
        <v>114290.23779045518</v>
      </c>
      <c r="S34" s="22">
        <f>IF(S$19="","",MIN($D$34-SUM($F$34:R$34),S$38-S$33))</f>
        <v>116553.23531911679</v>
      </c>
      <c r="T34" s="22">
        <f>IF(T$19="","",MIN($D$34-SUM($F$34:S$34),T$38-T$33))</f>
        <v>118806.81606034812</v>
      </c>
      <c r="U34" s="22">
        <f>IF(U$19="","",MIN($D$34-SUM($F$34:T$34),U$38-U$33))</f>
        <v>245130.20019629947</v>
      </c>
      <c r="V34" s="6"/>
    </row>
    <row r="35" spans="2:22" x14ac:dyDescent="0.2">
      <c r="B35" s="4" t="s">
        <v>230</v>
      </c>
      <c r="C35" s="223" t="str">
        <f t="shared" si="8"/>
        <v>OK</v>
      </c>
      <c r="D35" s="123">
        <f>D38-D34-D36-D33</f>
        <v>2027936.8805586335</v>
      </c>
      <c r="E35" s="5"/>
      <c r="F35" s="22">
        <f t="shared" si="9"/>
        <v>0</v>
      </c>
      <c r="G35" s="22">
        <f>IF(G$19="","",G$38-G$36-G$34-G$33)</f>
        <v>0</v>
      </c>
      <c r="H35" s="22">
        <f t="shared" ref="H35:U35" si="10">IF(H$19="","",H$38-H$36-H$34-H$33)</f>
        <v>0</v>
      </c>
      <c r="I35" s="22">
        <f t="shared" si="10"/>
        <v>0</v>
      </c>
      <c r="J35" s="22">
        <f t="shared" si="10"/>
        <v>0</v>
      </c>
      <c r="K35" s="22">
        <f t="shared" si="10"/>
        <v>0</v>
      </c>
      <c r="L35" s="22">
        <f t="shared" si="10"/>
        <v>0</v>
      </c>
      <c r="M35" s="22">
        <f t="shared" si="10"/>
        <v>0</v>
      </c>
      <c r="N35" s="22">
        <f t="shared" si="10"/>
        <v>0</v>
      </c>
      <c r="O35" s="22">
        <f t="shared" si="10"/>
        <v>0</v>
      </c>
      <c r="P35" s="22">
        <f t="shared" si="10"/>
        <v>0</v>
      </c>
      <c r="Q35" s="22">
        <f t="shared" si="10"/>
        <v>0</v>
      </c>
      <c r="R35" s="22">
        <f t="shared" si="10"/>
        <v>0</v>
      </c>
      <c r="S35" s="22">
        <f t="shared" si="10"/>
        <v>0</v>
      </c>
      <c r="T35" s="22">
        <f t="shared" si="10"/>
        <v>0</v>
      </c>
      <c r="U35" s="22">
        <f t="shared" si="10"/>
        <v>2027936.8805586335</v>
      </c>
      <c r="V35" s="6"/>
    </row>
    <row r="36" spans="2:22" x14ac:dyDescent="0.2">
      <c r="B36" s="4" t="s">
        <v>228</v>
      </c>
      <c r="C36" s="223" t="str">
        <f t="shared" si="8"/>
        <v>OK</v>
      </c>
      <c r="D36" s="123">
        <f>$D$23/Equity_Share_LPs*Equity_Share_Sponsor</f>
        <v>1684285.2516668437</v>
      </c>
      <c r="E36" s="5"/>
      <c r="F36" s="22">
        <f>IF(F$19="","",F$23/Equity_Share_LPs*Equity_Share_Sponsor)</f>
        <v>0</v>
      </c>
      <c r="G36" s="22">
        <f>IF(G$19="","",G$23/Equity_Share_LPs*Equity_Share_Sponsor)</f>
        <v>0</v>
      </c>
      <c r="H36" s="22">
        <f>IF(H$19="","",H$23/Equity_Share_LPs*Equity_Share_Sponsor)</f>
        <v>0</v>
      </c>
      <c r="I36" s="22">
        <f>IF(I$19="","",I$23/Equity_Share_LPs*Equity_Share_Sponsor)</f>
        <v>0</v>
      </c>
      <c r="J36" s="22">
        <f>IF(J$19="","",J$23/Equity_Share_LPs*Equity_Share_Sponsor)</f>
        <v>0</v>
      </c>
      <c r="K36" s="22">
        <f>IF(K$19="","",K$23/Equity_Share_LPs*Equity_Share_Sponsor)</f>
        <v>0</v>
      </c>
      <c r="L36" s="22">
        <f>IF(L$19="","",L$23/Equity_Share_LPs*Equity_Share_Sponsor)</f>
        <v>0</v>
      </c>
      <c r="M36" s="22">
        <f>IF(M$19="","",M$23/Equity_Share_LPs*Equity_Share_Sponsor)</f>
        <v>0</v>
      </c>
      <c r="N36" s="22">
        <f>IF(N$19="","",N$23/Equity_Share_LPs*Equity_Share_Sponsor)</f>
        <v>0</v>
      </c>
      <c r="O36" s="22">
        <f>IF(O$19="","",O$23/Equity_Share_LPs*Equity_Share_Sponsor)</f>
        <v>0</v>
      </c>
      <c r="P36" s="22">
        <f>IF(P$19="","",P$23/Equity_Share_LPs*Equity_Share_Sponsor)</f>
        <v>0</v>
      </c>
      <c r="Q36" s="22">
        <f>IF(Q$19="","",Q$23/Equity_Share_LPs*Equity_Share_Sponsor)</f>
        <v>0</v>
      </c>
      <c r="R36" s="22">
        <f>IF(R$19="","",R$23/Equity_Share_LPs*Equity_Share_Sponsor)</f>
        <v>0</v>
      </c>
      <c r="S36" s="22">
        <f>IF(S$19="","",S$23/Equity_Share_LPs*Equity_Share_Sponsor)</f>
        <v>0</v>
      </c>
      <c r="T36" s="22">
        <f>IF(T$19="","",T$23/Equity_Share_LPs*Equity_Share_Sponsor)</f>
        <v>0</v>
      </c>
      <c r="U36" s="22">
        <f>IF(U$19="","",U$23/Equity_Share_LPs*Equity_Share_Sponsor)</f>
        <v>1684285.2516668437</v>
      </c>
      <c r="V36" s="6"/>
    </row>
    <row r="37" spans="2:22" x14ac:dyDescent="0.2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6"/>
    </row>
    <row r="38" spans="2:22" x14ac:dyDescent="0.2">
      <c r="B38" s="4" t="s">
        <v>231</v>
      </c>
      <c r="C38" s="5"/>
      <c r="D38" s="22">
        <f>SUM(F38:U38)</f>
        <v>5350982.3558103964</v>
      </c>
      <c r="E38" s="5"/>
      <c r="F38" s="22">
        <f>IF(F19="","",F$79+F$92+F$105+F$113)</f>
        <v>0</v>
      </c>
      <c r="G38" s="22">
        <f t="shared" ref="G38:U38" si="11">IF(G19="","",G$79+G$92+G$105+G$113)</f>
        <v>50076.651881829071</v>
      </c>
      <c r="H38" s="22">
        <f t="shared" si="11"/>
        <v>68046.593412495771</v>
      </c>
      <c r="I38" s="22">
        <f t="shared" si="11"/>
        <v>93707.121641082296</v>
      </c>
      <c r="J38" s="22">
        <f t="shared" si="11"/>
        <v>95999.762532459921</v>
      </c>
      <c r="K38" s="22">
        <f t="shared" si="11"/>
        <v>98293.416195547703</v>
      </c>
      <c r="L38" s="22">
        <f t="shared" si="11"/>
        <v>100587.11345503957</v>
      </c>
      <c r="M38" s="22">
        <f t="shared" si="11"/>
        <v>102879.84144408305</v>
      </c>
      <c r="N38" s="22">
        <f t="shared" si="11"/>
        <v>105170.54208317235</v>
      </c>
      <c r="O38" s="22">
        <f t="shared" si="11"/>
        <v>107458.11051046521</v>
      </c>
      <c r="P38" s="22">
        <f t="shared" si="11"/>
        <v>109741.39346203196</v>
      </c>
      <c r="Q38" s="22">
        <f t="shared" si="11"/>
        <v>112019.18760049281</v>
      </c>
      <c r="R38" s="22">
        <f t="shared" si="11"/>
        <v>114290.23779045518</v>
      </c>
      <c r="S38" s="22">
        <f t="shared" si="11"/>
        <v>116553.23531911679</v>
      </c>
      <c r="T38" s="22">
        <f t="shared" si="11"/>
        <v>118806.81606034812</v>
      </c>
      <c r="U38" s="22">
        <f t="shared" si="11"/>
        <v>3957352.3324217768</v>
      </c>
      <c r="V38" s="6"/>
    </row>
    <row r="39" spans="2:22" x14ac:dyDescent="0.2">
      <c r="B39" s="4" t="s">
        <v>232</v>
      </c>
      <c r="C39" s="5"/>
      <c r="D39" s="22">
        <f>SUM(F39:U39)</f>
        <v>320000</v>
      </c>
      <c r="E39" s="5"/>
      <c r="F39" s="22">
        <f t="shared" ref="F39:U39" si="12">IF(F$19="","",SUM(F49:F50))</f>
        <v>10000</v>
      </c>
      <c r="G39" s="22">
        <f t="shared" si="12"/>
        <v>20000</v>
      </c>
      <c r="H39" s="22">
        <f t="shared" si="12"/>
        <v>20000</v>
      </c>
      <c r="I39" s="22">
        <f t="shared" si="12"/>
        <v>20000</v>
      </c>
      <c r="J39" s="22">
        <f t="shared" si="12"/>
        <v>20000</v>
      </c>
      <c r="K39" s="22">
        <f t="shared" si="12"/>
        <v>20000</v>
      </c>
      <c r="L39" s="22">
        <f t="shared" si="12"/>
        <v>20000</v>
      </c>
      <c r="M39" s="22">
        <f t="shared" si="12"/>
        <v>20000</v>
      </c>
      <c r="N39" s="22">
        <f t="shared" si="12"/>
        <v>20000</v>
      </c>
      <c r="O39" s="22">
        <f t="shared" si="12"/>
        <v>20000</v>
      </c>
      <c r="P39" s="22">
        <f t="shared" si="12"/>
        <v>20000</v>
      </c>
      <c r="Q39" s="22">
        <f t="shared" si="12"/>
        <v>20000</v>
      </c>
      <c r="R39" s="22">
        <f t="shared" si="12"/>
        <v>20000</v>
      </c>
      <c r="S39" s="22">
        <f t="shared" si="12"/>
        <v>20000</v>
      </c>
      <c r="T39" s="22">
        <f t="shared" si="12"/>
        <v>20000</v>
      </c>
      <c r="U39" s="22">
        <f t="shared" si="12"/>
        <v>30000</v>
      </c>
      <c r="V39" s="6"/>
    </row>
    <row r="40" spans="2:22" x14ac:dyDescent="0.2">
      <c r="B40" s="4" t="s">
        <v>233</v>
      </c>
      <c r="C40" s="5"/>
      <c r="D40" s="22">
        <f>SUM(F40:U40)</f>
        <v>1966879.1736615384</v>
      </c>
      <c r="E40" s="5"/>
      <c r="F40" s="22">
        <f>IF(F19="","",F$67)</f>
        <v>1966879.1736615384</v>
      </c>
      <c r="G40" s="22">
        <f t="shared" ref="G40:U40" si="13">IF(G19="","",G$67)</f>
        <v>0</v>
      </c>
      <c r="H40" s="22">
        <f t="shared" si="13"/>
        <v>0</v>
      </c>
      <c r="I40" s="22">
        <f t="shared" si="13"/>
        <v>0</v>
      </c>
      <c r="J40" s="22">
        <f t="shared" si="13"/>
        <v>0</v>
      </c>
      <c r="K40" s="22">
        <f t="shared" si="13"/>
        <v>0</v>
      </c>
      <c r="L40" s="22">
        <f t="shared" si="13"/>
        <v>0</v>
      </c>
      <c r="M40" s="22">
        <f t="shared" si="13"/>
        <v>0</v>
      </c>
      <c r="N40" s="22">
        <f t="shared" si="13"/>
        <v>0</v>
      </c>
      <c r="O40" s="22">
        <f t="shared" si="13"/>
        <v>0</v>
      </c>
      <c r="P40" s="22">
        <f t="shared" si="13"/>
        <v>0</v>
      </c>
      <c r="Q40" s="22">
        <f t="shared" si="13"/>
        <v>0</v>
      </c>
      <c r="R40" s="22">
        <f t="shared" si="13"/>
        <v>0</v>
      </c>
      <c r="S40" s="22">
        <f t="shared" si="13"/>
        <v>0</v>
      </c>
      <c r="T40" s="22">
        <f t="shared" si="13"/>
        <v>0</v>
      </c>
      <c r="U40" s="22">
        <f t="shared" si="13"/>
        <v>0</v>
      </c>
      <c r="V40" s="6"/>
    </row>
    <row r="41" spans="2:22" x14ac:dyDescent="0.2">
      <c r="B41" s="4" t="s">
        <v>234</v>
      </c>
      <c r="C41" s="5"/>
      <c r="D41" s="22">
        <f>D38+D39-D40</f>
        <v>3704103.182148858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6"/>
    </row>
    <row r="42" spans="2:22" x14ac:dyDescent="0.2">
      <c r="B42" s="4"/>
      <c r="C42" s="5"/>
      <c r="D42" s="22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6"/>
    </row>
    <row r="43" spans="2:22" x14ac:dyDescent="0.2">
      <c r="B43" s="4" t="s">
        <v>173</v>
      </c>
      <c r="C43" s="5"/>
      <c r="D43" s="17">
        <f>IF(AND(MIN($F$43:$U$43)&lt;0,MAX($F$43:$U$43)&gt;0),IRR($F$43:$U$43),"-")</f>
        <v>9.1151742394101287E-2</v>
      </c>
      <c r="E43" s="5"/>
      <c r="F43" s="22">
        <f t="shared" ref="F43:U43" si="14">IF(F19="","",(-F40)+F38+F39)</f>
        <v>-1956879.1736615384</v>
      </c>
      <c r="G43" s="22">
        <f t="shared" si="14"/>
        <v>70076.651881829079</v>
      </c>
      <c r="H43" s="22">
        <f t="shared" si="14"/>
        <v>88046.593412495771</v>
      </c>
      <c r="I43" s="22">
        <f t="shared" si="14"/>
        <v>113707.1216410823</v>
      </c>
      <c r="J43" s="22">
        <f t="shared" si="14"/>
        <v>115999.76253245992</v>
      </c>
      <c r="K43" s="22">
        <f t="shared" si="14"/>
        <v>118293.4161955477</v>
      </c>
      <c r="L43" s="22">
        <f t="shared" si="14"/>
        <v>120587.11345503957</v>
      </c>
      <c r="M43" s="22">
        <f t="shared" si="14"/>
        <v>122879.84144408305</v>
      </c>
      <c r="N43" s="22">
        <f t="shared" si="14"/>
        <v>125170.54208317235</v>
      </c>
      <c r="O43" s="22">
        <f t="shared" si="14"/>
        <v>127458.11051046521</v>
      </c>
      <c r="P43" s="22">
        <f t="shared" si="14"/>
        <v>129741.39346203196</v>
      </c>
      <c r="Q43" s="22">
        <f t="shared" si="14"/>
        <v>132019.18760049279</v>
      </c>
      <c r="R43" s="22">
        <f t="shared" si="14"/>
        <v>134290.23779045517</v>
      </c>
      <c r="S43" s="22">
        <f t="shared" si="14"/>
        <v>136553.23531911679</v>
      </c>
      <c r="T43" s="22">
        <f t="shared" si="14"/>
        <v>138806.81606034812</v>
      </c>
      <c r="U43" s="22">
        <f t="shared" si="14"/>
        <v>3987352.3324217768</v>
      </c>
      <c r="V43" s="6"/>
    </row>
    <row r="44" spans="2:22" x14ac:dyDescent="0.2">
      <c r="B44" s="4" t="s">
        <v>174</v>
      </c>
      <c r="C44" s="5"/>
      <c r="D44" s="48">
        <f>SUMIF(F43:U43,"&gt;0")/-SUMIF(F43:U43,"&lt;0")</f>
        <v>2.8928624883968026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6"/>
    </row>
    <row r="45" spans="2:22" x14ac:dyDescent="0.2"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6"/>
    </row>
    <row r="46" spans="2:22" x14ac:dyDescent="0.2">
      <c r="B46" s="192"/>
      <c r="C46" s="95"/>
      <c r="D46" s="95"/>
      <c r="E46" s="95"/>
      <c r="F46" s="194">
        <f t="shared" ref="F46:U46" si="15">F19</f>
        <v>0</v>
      </c>
      <c r="G46" s="194">
        <f t="shared" si="15"/>
        <v>1</v>
      </c>
      <c r="H46" s="194">
        <f t="shared" si="15"/>
        <v>2</v>
      </c>
      <c r="I46" s="194">
        <f t="shared" si="15"/>
        <v>3</v>
      </c>
      <c r="J46" s="194">
        <f t="shared" si="15"/>
        <v>4</v>
      </c>
      <c r="K46" s="194">
        <f t="shared" si="15"/>
        <v>5</v>
      </c>
      <c r="L46" s="194">
        <f t="shared" si="15"/>
        <v>6</v>
      </c>
      <c r="M46" s="194">
        <f t="shared" si="15"/>
        <v>7</v>
      </c>
      <c r="N46" s="194">
        <f t="shared" si="15"/>
        <v>8</v>
      </c>
      <c r="O46" s="194">
        <f t="shared" si="15"/>
        <v>9</v>
      </c>
      <c r="P46" s="194">
        <f t="shared" si="15"/>
        <v>10</v>
      </c>
      <c r="Q46" s="194">
        <f t="shared" si="15"/>
        <v>11</v>
      </c>
      <c r="R46" s="194">
        <f t="shared" si="15"/>
        <v>12</v>
      </c>
      <c r="S46" s="194">
        <f t="shared" si="15"/>
        <v>13</v>
      </c>
      <c r="T46" s="194">
        <f t="shared" si="15"/>
        <v>14</v>
      </c>
      <c r="U46" s="194">
        <f t="shared" si="15"/>
        <v>15</v>
      </c>
      <c r="V46" s="96"/>
    </row>
    <row r="47" spans="2:22" x14ac:dyDescent="0.2">
      <c r="B47" s="187" t="s">
        <v>182</v>
      </c>
      <c r="C47" s="188"/>
      <c r="D47" s="188"/>
      <c r="E47" s="188" t="s">
        <v>88</v>
      </c>
      <c r="F47" s="195">
        <f>EOMONTH(G47,-12)</f>
        <v>43830</v>
      </c>
      <c r="G47" s="195">
        <f>IF(G$46="","",'Property Returns'!D$5)</f>
        <v>44196</v>
      </c>
      <c r="H47" s="195">
        <f>IF(H$46="","",'Property Returns'!E$5)</f>
        <v>44196</v>
      </c>
      <c r="I47" s="195">
        <f>IF(I$46="","",'Property Returns'!F$5)</f>
        <v>44926</v>
      </c>
      <c r="J47" s="195">
        <f>IF(J$46="","",'Property Returns'!G$5)</f>
        <v>45291</v>
      </c>
      <c r="K47" s="195">
        <f>IF(K$46="","",'Property Returns'!H$5)</f>
        <v>45657</v>
      </c>
      <c r="L47" s="195">
        <f>IF(L$46="","",'Property Returns'!I$5)</f>
        <v>46022</v>
      </c>
      <c r="M47" s="195">
        <f>IF(M$46="","",'Property Returns'!J$5)</f>
        <v>46387</v>
      </c>
      <c r="N47" s="195">
        <f>IF(N$46="","",'Property Returns'!K$5)</f>
        <v>46752</v>
      </c>
      <c r="O47" s="195">
        <f>IF(O$46="","",'Property Returns'!L$5)</f>
        <v>47118</v>
      </c>
      <c r="P47" s="195">
        <f>IF(P$46="","",'Property Returns'!M$5)</f>
        <v>47483</v>
      </c>
      <c r="Q47" s="195">
        <f>IF(Q$46="","",'Property Returns'!N$5)</f>
        <v>47848</v>
      </c>
      <c r="R47" s="195">
        <f>IF(R$46="","",'Property Returns'!O$5)</f>
        <v>48213</v>
      </c>
      <c r="S47" s="195">
        <f>IF(S$46="","",'Property Returns'!P$5)</f>
        <v>48579</v>
      </c>
      <c r="T47" s="195">
        <f>IF(T$46="","",'Property Returns'!Q$5)</f>
        <v>48944</v>
      </c>
      <c r="U47" s="195">
        <f>IF(U$46="","",'Property Returns'!R$5)</f>
        <v>49309</v>
      </c>
      <c r="V47" s="193"/>
    </row>
    <row r="48" spans="2:22" x14ac:dyDescent="0.2">
      <c r="B48" s="4" t="s">
        <v>235</v>
      </c>
      <c r="C48" s="5"/>
      <c r="D48" s="5"/>
      <c r="E48" s="5"/>
      <c r="F48" s="22">
        <f>-Initial_Equity</f>
        <v>-19658791.736615382</v>
      </c>
      <c r="G48" s="22">
        <f>IF(G$19="","",'Property Returns'!D$35+(G$19=Effective_Hold_Period)*'Property Returns'!D$32)</f>
        <v>520766.51881829067</v>
      </c>
      <c r="H48" s="22">
        <f>IF(H$19="","",'Property Returns'!E$35+(H$19=Effective_Hold_Period)*'Property Returns'!E$32)</f>
        <v>700465.93412495754</v>
      </c>
      <c r="I48" s="22">
        <f>IF(I$19="","",'Property Returns'!F$35+(I$19=Effective_Hold_Period)*'Property Returns'!F$32)</f>
        <v>957071.21641082293</v>
      </c>
      <c r="J48" s="22">
        <f>IF(J$19="","",'Property Returns'!G$35+(J$19=Effective_Hold_Period)*'Property Returns'!G$32)</f>
        <v>979997.62532459921</v>
      </c>
      <c r="K48" s="22">
        <f>IF(K$19="","",'Property Returns'!H$35+(K$19=Effective_Hold_Period)*'Property Returns'!H$32)</f>
        <v>1002934.161955477</v>
      </c>
      <c r="L48" s="22">
        <f>IF(L$19="","",'Property Returns'!I$35+(L$19=Effective_Hold_Period)*'Property Returns'!I$32)</f>
        <v>1025871.1345503957</v>
      </c>
      <c r="M48" s="22">
        <f>IF(M$19="","",'Property Returns'!J$35+(M$19=Effective_Hold_Period)*'Property Returns'!J$32)</f>
        <v>1048798.4144408305</v>
      </c>
      <c r="N48" s="22">
        <f>IF(N$19="","",'Property Returns'!K$35+(N$19=Effective_Hold_Period)*'Property Returns'!K$32)</f>
        <v>1071705.4208317234</v>
      </c>
      <c r="O48" s="22">
        <f>IF(O$19="","",'Property Returns'!L$35+(O$19=Effective_Hold_Period)*'Property Returns'!L$32)</f>
        <v>1094581.105104652</v>
      </c>
      <c r="P48" s="22">
        <f>IF(P$19="","",'Property Returns'!M$35+(P$19=Effective_Hold_Period)*'Property Returns'!M$32)</f>
        <v>1117413.9346203196</v>
      </c>
      <c r="Q48" s="22">
        <f>IF(Q$19="","",'Property Returns'!N$35+(Q$19=Effective_Hold_Period)*'Property Returns'!N$32)</f>
        <v>1140191.876004928</v>
      </c>
      <c r="R48" s="22">
        <f>IF(R$19="","",'Property Returns'!O$35+(R$19=Effective_Hold_Period)*'Property Returns'!O$32)</f>
        <v>1162902.3779045518</v>
      </c>
      <c r="S48" s="22">
        <f>IF(S$19="","",'Property Returns'!P$35+(S$19=Effective_Hold_Period)*'Property Returns'!P$32)</f>
        <v>1185532.3531911678</v>
      </c>
      <c r="T48" s="22">
        <f>IF(T$19="","",'Property Returns'!Q$35+(T$19=Effective_Hold_Period)*'Property Returns'!Q$32)</f>
        <v>1208068.1606034811</v>
      </c>
      <c r="U48" s="22">
        <f>IF(U$19="","",'Property Returns'!R$35+(U$19=Effective_Hold_Period)*'Property Returns'!R$32)</f>
        <v>21352091.399190065</v>
      </c>
      <c r="V48" s="6"/>
    </row>
    <row r="49" spans="2:22" x14ac:dyDescent="0.2">
      <c r="B49" s="4" t="s">
        <v>175</v>
      </c>
      <c r="C49" s="5"/>
      <c r="D49" s="5"/>
      <c r="E49" s="5"/>
      <c r="F49" s="240">
        <v>0</v>
      </c>
      <c r="G49" s="240">
        <v>20000</v>
      </c>
      <c r="H49" s="240">
        <v>20000</v>
      </c>
      <c r="I49" s="240">
        <v>20000</v>
      </c>
      <c r="J49" s="240">
        <v>20000</v>
      </c>
      <c r="K49" s="240">
        <v>20000</v>
      </c>
      <c r="L49" s="240">
        <v>20000</v>
      </c>
      <c r="M49" s="240">
        <v>20000</v>
      </c>
      <c r="N49" s="240">
        <v>20000</v>
      </c>
      <c r="O49" s="240">
        <v>20000</v>
      </c>
      <c r="P49" s="240">
        <v>20000</v>
      </c>
      <c r="Q49" s="240">
        <v>20000</v>
      </c>
      <c r="R49" s="240">
        <v>20000</v>
      </c>
      <c r="S49" s="240">
        <v>20000</v>
      </c>
      <c r="T49" s="240">
        <v>20000</v>
      </c>
      <c r="U49" s="240">
        <v>20000</v>
      </c>
      <c r="V49" s="6"/>
    </row>
    <row r="50" spans="2:22" x14ac:dyDescent="0.2">
      <c r="B50" s="4" t="s">
        <v>176</v>
      </c>
      <c r="C50" s="5"/>
      <c r="D50" s="5"/>
      <c r="E50" s="5"/>
      <c r="F50" s="240">
        <v>10000</v>
      </c>
      <c r="G50" s="240">
        <v>0</v>
      </c>
      <c r="H50" s="240">
        <v>0</v>
      </c>
      <c r="I50" s="240">
        <v>0</v>
      </c>
      <c r="J50" s="240">
        <v>0</v>
      </c>
      <c r="K50" s="240">
        <v>0</v>
      </c>
      <c r="L50" s="240">
        <v>0</v>
      </c>
      <c r="M50" s="240">
        <v>0</v>
      </c>
      <c r="N50" s="240">
        <v>0</v>
      </c>
      <c r="O50" s="240">
        <v>0</v>
      </c>
      <c r="P50" s="240">
        <v>0</v>
      </c>
      <c r="Q50" s="240">
        <v>0</v>
      </c>
      <c r="R50" s="240">
        <v>0</v>
      </c>
      <c r="S50" s="240">
        <v>0</v>
      </c>
      <c r="T50" s="240">
        <v>0</v>
      </c>
      <c r="U50" s="240">
        <v>10000</v>
      </c>
      <c r="V50" s="6"/>
    </row>
    <row r="51" spans="2:22" x14ac:dyDescent="0.2">
      <c r="B51" s="4" t="s">
        <v>236</v>
      </c>
      <c r="C51" s="5"/>
      <c r="D51" s="5"/>
      <c r="E51" s="5"/>
      <c r="F51" s="22">
        <f t="shared" ref="F51:U51" si="16">IF(F$46="","",F48-F49-F50)</f>
        <v>-19668791.736615382</v>
      </c>
      <c r="G51" s="22">
        <f t="shared" si="16"/>
        <v>500766.51881829067</v>
      </c>
      <c r="H51" s="22">
        <f t="shared" si="16"/>
        <v>680465.93412495754</v>
      </c>
      <c r="I51" s="22">
        <f t="shared" si="16"/>
        <v>937071.21641082293</v>
      </c>
      <c r="J51" s="22">
        <f t="shared" si="16"/>
        <v>959997.62532459921</v>
      </c>
      <c r="K51" s="22">
        <f t="shared" si="16"/>
        <v>982934.16195547697</v>
      </c>
      <c r="L51" s="22">
        <f t="shared" si="16"/>
        <v>1005871.1345503957</v>
      </c>
      <c r="M51" s="22">
        <f t="shared" si="16"/>
        <v>1028798.4144408305</v>
      </c>
      <c r="N51" s="22">
        <f t="shared" si="16"/>
        <v>1051705.4208317234</v>
      </c>
      <c r="O51" s="22">
        <f t="shared" si="16"/>
        <v>1074581.105104652</v>
      </c>
      <c r="P51" s="22">
        <f t="shared" si="16"/>
        <v>1097413.9346203196</v>
      </c>
      <c r="Q51" s="22">
        <f t="shared" si="16"/>
        <v>1120191.876004928</v>
      </c>
      <c r="R51" s="22">
        <f t="shared" si="16"/>
        <v>1142902.3779045518</v>
      </c>
      <c r="S51" s="22">
        <f t="shared" si="16"/>
        <v>1165532.3531911678</v>
      </c>
      <c r="T51" s="22">
        <f t="shared" si="16"/>
        <v>1188068.1606034811</v>
      </c>
      <c r="U51" s="22">
        <f t="shared" si="16"/>
        <v>21322091.399190065</v>
      </c>
      <c r="V51" s="6"/>
    </row>
    <row r="52" spans="2:22" x14ac:dyDescent="0.2">
      <c r="B52" s="4"/>
      <c r="C52" s="5"/>
      <c r="D52" s="5"/>
      <c r="E52" s="5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6"/>
    </row>
    <row r="53" spans="2:22" x14ac:dyDescent="0.2">
      <c r="B53" s="4" t="s">
        <v>32</v>
      </c>
      <c r="C53" s="5"/>
      <c r="D53" s="5"/>
      <c r="E53" s="5"/>
      <c r="F53" s="17">
        <f>IF(AND(MIN(F$51:U$51)&lt;0,MAX(F$51:U$51)&gt;0),IRR(F$51:U$51))</f>
        <v>5.0565853151370632E-2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6"/>
    </row>
    <row r="54" spans="2:22" x14ac:dyDescent="0.2">
      <c r="B54" s="4" t="s">
        <v>60</v>
      </c>
      <c r="C54" s="5"/>
      <c r="D54" s="5"/>
      <c r="E54" s="5"/>
      <c r="F54" s="48">
        <f>SUMIF(F$51:U$51,"&gt;0")/-SUMIF(F$51:U$51,"&lt;0")</f>
        <v>1.792605875603396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6"/>
    </row>
    <row r="55" spans="2:22" x14ac:dyDescent="0.2"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6"/>
    </row>
    <row r="56" spans="2:22" x14ac:dyDescent="0.2">
      <c r="B56" s="94" t="s">
        <v>177</v>
      </c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6"/>
    </row>
    <row r="57" spans="2:22" x14ac:dyDescent="0.2">
      <c r="B57" s="196" t="s">
        <v>183</v>
      </c>
      <c r="C57" s="197" t="str">
        <f>IF($D$4="IRR",TEXT($E$14,"0.00%"),TEXT($E$14,"0.00x"))</f>
        <v>8.00%</v>
      </c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93"/>
    </row>
    <row r="58" spans="2:22" x14ac:dyDescent="0.2">
      <c r="B58" s="200" t="s">
        <v>248</v>
      </c>
      <c r="C58" s="199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6"/>
    </row>
    <row r="59" spans="2:22" x14ac:dyDescent="0.2">
      <c r="B59" s="201" t="s">
        <v>237</v>
      </c>
      <c r="C59" s="199"/>
      <c r="D59" s="5"/>
      <c r="E59" s="5"/>
      <c r="F59" s="22">
        <f>IF(F$46="","",0)</f>
        <v>0</v>
      </c>
      <c r="G59" s="22">
        <f>IF(G$46="","",F$63)</f>
        <v>17701912.562953845</v>
      </c>
      <c r="H59" s="22">
        <f t="shared" ref="H59:U59" si="17">IF(H$46="","",G$63)</f>
        <v>18667375.701053694</v>
      </c>
      <c r="I59" s="22">
        <f t="shared" si="17"/>
        <v>19548346.416425526</v>
      </c>
      <c r="J59" s="22">
        <f t="shared" si="17"/>
        <v>20268850.034969825</v>
      </c>
      <c r="K59" s="22">
        <f t="shared" si="17"/>
        <v>21026360.174975272</v>
      </c>
      <c r="L59" s="22">
        <f t="shared" si="17"/>
        <v>21823828.243213363</v>
      </c>
      <c r="M59" s="22">
        <f t="shared" si="17"/>
        <v>22664450.481575076</v>
      </c>
      <c r="N59" s="22">
        <f t="shared" si="17"/>
        <v>23551687.947104335</v>
      </c>
      <c r="O59" s="22">
        <f t="shared" si="17"/>
        <v>24489288.104124129</v>
      </c>
      <c r="P59" s="22">
        <f t="shared" si="17"/>
        <v>25481308.157859873</v>
      </c>
      <c r="Q59" s="22">
        <f t="shared" si="17"/>
        <v>26532140.269330375</v>
      </c>
      <c r="R59" s="22">
        <f t="shared" si="17"/>
        <v>27646538.802472368</v>
      </c>
      <c r="S59" s="22">
        <f t="shared" si="17"/>
        <v>28829649.766556062</v>
      </c>
      <c r="T59" s="22">
        <f t="shared" si="17"/>
        <v>30087042.630008496</v>
      </c>
      <c r="U59" s="22">
        <f t="shared" si="17"/>
        <v>31424744.695866045</v>
      </c>
      <c r="V59" s="6"/>
    </row>
    <row r="60" spans="2:22" x14ac:dyDescent="0.2">
      <c r="B60" s="202" t="s">
        <v>238</v>
      </c>
      <c r="C60" s="199"/>
      <c r="D60" s="5"/>
      <c r="E60" s="5"/>
      <c r="F60" s="22">
        <f t="shared" ref="F60:U60" si="18">IF(F$46="","",-MIN(0,F$51*Equity_Share_LPs))</f>
        <v>17701912.562953845</v>
      </c>
      <c r="G60" s="22">
        <f t="shared" si="18"/>
        <v>0</v>
      </c>
      <c r="H60" s="22">
        <f t="shared" si="18"/>
        <v>0</v>
      </c>
      <c r="I60" s="22">
        <f t="shared" si="18"/>
        <v>0</v>
      </c>
      <c r="J60" s="22">
        <f t="shared" si="18"/>
        <v>0</v>
      </c>
      <c r="K60" s="22">
        <f t="shared" si="18"/>
        <v>0</v>
      </c>
      <c r="L60" s="22">
        <f t="shared" si="18"/>
        <v>0</v>
      </c>
      <c r="M60" s="22">
        <f t="shared" si="18"/>
        <v>0</v>
      </c>
      <c r="N60" s="22">
        <f t="shared" si="18"/>
        <v>0</v>
      </c>
      <c r="O60" s="22">
        <f t="shared" si="18"/>
        <v>0</v>
      </c>
      <c r="P60" s="22">
        <f t="shared" si="18"/>
        <v>0</v>
      </c>
      <c r="Q60" s="22">
        <f t="shared" si="18"/>
        <v>0</v>
      </c>
      <c r="R60" s="22">
        <f t="shared" si="18"/>
        <v>0</v>
      </c>
      <c r="S60" s="22">
        <f t="shared" si="18"/>
        <v>0</v>
      </c>
      <c r="T60" s="22">
        <f t="shared" si="18"/>
        <v>0</v>
      </c>
      <c r="U60" s="22">
        <f t="shared" si="18"/>
        <v>0</v>
      </c>
      <c r="V60" s="6"/>
    </row>
    <row r="61" spans="2:22" x14ac:dyDescent="0.2">
      <c r="B61" s="202" t="s">
        <v>239</v>
      </c>
      <c r="C61" s="199"/>
      <c r="D61" s="5"/>
      <c r="E61" s="5"/>
      <c r="F61" s="22">
        <f t="shared" ref="F61:U61" si="19">IF($D$4="IRR",F$59*Preferred_Return,0)</f>
        <v>0</v>
      </c>
      <c r="G61" s="22">
        <f t="shared" si="19"/>
        <v>1416153.0050363075</v>
      </c>
      <c r="H61" s="22">
        <f t="shared" si="19"/>
        <v>1493390.0560842955</v>
      </c>
      <c r="I61" s="22">
        <f t="shared" si="19"/>
        <v>1563867.7133140422</v>
      </c>
      <c r="J61" s="22">
        <f t="shared" si="19"/>
        <v>1621508.0027975861</v>
      </c>
      <c r="K61" s="22">
        <f t="shared" si="19"/>
        <v>1682108.8139980219</v>
      </c>
      <c r="L61" s="22">
        <f t="shared" si="19"/>
        <v>1745906.259457069</v>
      </c>
      <c r="M61" s="22">
        <f t="shared" si="19"/>
        <v>1813156.038526006</v>
      </c>
      <c r="N61" s="22">
        <f t="shared" si="19"/>
        <v>1884135.0357683469</v>
      </c>
      <c r="O61" s="22">
        <f t="shared" si="19"/>
        <v>1959143.0483299303</v>
      </c>
      <c r="P61" s="22">
        <f t="shared" si="19"/>
        <v>2038504.6526287899</v>
      </c>
      <c r="Q61" s="22">
        <f t="shared" si="19"/>
        <v>2122571.2215464301</v>
      </c>
      <c r="R61" s="22">
        <f t="shared" si="19"/>
        <v>2211723.1041977894</v>
      </c>
      <c r="S61" s="22">
        <f t="shared" si="19"/>
        <v>2306371.981324485</v>
      </c>
      <c r="T61" s="22">
        <f t="shared" si="19"/>
        <v>2406963.4104006798</v>
      </c>
      <c r="U61" s="22">
        <f t="shared" si="19"/>
        <v>2513979.5756692835</v>
      </c>
      <c r="V61" s="6"/>
    </row>
    <row r="62" spans="2:22" ht="19" x14ac:dyDescent="0.35">
      <c r="B62" s="202" t="s">
        <v>240</v>
      </c>
      <c r="C62" s="199"/>
      <c r="D62" s="5"/>
      <c r="E62" s="5"/>
      <c r="F62" s="23">
        <f>IF(F$46="","",IF($D$4="EM",MIN($F$73-F$74,MAX(F51,0)*$I$14),MIN(F59+F61,MAX(F51,0)*$I$14)))</f>
        <v>0</v>
      </c>
      <c r="G62" s="23">
        <f t="shared" ref="G62:U62" si="20">IF(G$46="","",IF($D$4="EM",MIN($F$73-G$74,MAX(G51,0)*$I$14),MIN(G59+G61,MAX(G51,0)*$I$14)))</f>
        <v>450689.86693646159</v>
      </c>
      <c r="H62" s="23">
        <f t="shared" si="20"/>
        <v>612419.34071246185</v>
      </c>
      <c r="I62" s="23">
        <f t="shared" si="20"/>
        <v>843364.09476974071</v>
      </c>
      <c r="J62" s="23">
        <f t="shared" si="20"/>
        <v>863997.86279213929</v>
      </c>
      <c r="K62" s="23">
        <f t="shared" si="20"/>
        <v>884640.7457599293</v>
      </c>
      <c r="L62" s="23">
        <f t="shared" si="20"/>
        <v>905284.02109535609</v>
      </c>
      <c r="M62" s="23">
        <f t="shared" si="20"/>
        <v>925918.57299674745</v>
      </c>
      <c r="N62" s="23">
        <f t="shared" si="20"/>
        <v>946534.87874855101</v>
      </c>
      <c r="O62" s="23">
        <f t="shared" si="20"/>
        <v>967122.99459418678</v>
      </c>
      <c r="P62" s="23">
        <f t="shared" si="20"/>
        <v>987672.54115828767</v>
      </c>
      <c r="Q62" s="23">
        <f t="shared" si="20"/>
        <v>1008172.6884044353</v>
      </c>
      <c r="R62" s="23">
        <f t="shared" si="20"/>
        <v>1028612.1401140967</v>
      </c>
      <c r="S62" s="23">
        <f t="shared" si="20"/>
        <v>1048979.117872051</v>
      </c>
      <c r="T62" s="23">
        <f t="shared" si="20"/>
        <v>1069261.3445431329</v>
      </c>
      <c r="U62" s="23">
        <f t="shared" si="20"/>
        <v>19189882.259271059</v>
      </c>
      <c r="V62" s="6"/>
    </row>
    <row r="63" spans="2:22" x14ac:dyDescent="0.2">
      <c r="B63" s="201" t="s">
        <v>241</v>
      </c>
      <c r="C63" s="199"/>
      <c r="D63" s="5"/>
      <c r="E63" s="5"/>
      <c r="F63" s="22">
        <f>IF(F$46="","",IF($D$4="EM", MAX(F$59+F$60+F$61-F$62,0),F$59+F$60+F$61-F$62))</f>
        <v>17701912.562953845</v>
      </c>
      <c r="G63" s="22">
        <f t="shared" ref="G63:U63" si="21">IF(G$46="","",IF($D$4="EM", MAX(G$59+G$60+G$61-G$62,0),G$59+G$60+G$61-G$62))</f>
        <v>18667375.701053694</v>
      </c>
      <c r="H63" s="22">
        <f t="shared" si="21"/>
        <v>19548346.416425526</v>
      </c>
      <c r="I63" s="22">
        <f t="shared" si="21"/>
        <v>20268850.034969825</v>
      </c>
      <c r="J63" s="22">
        <f t="shared" si="21"/>
        <v>21026360.174975272</v>
      </c>
      <c r="K63" s="22">
        <f t="shared" si="21"/>
        <v>21823828.243213363</v>
      </c>
      <c r="L63" s="22">
        <f t="shared" si="21"/>
        <v>22664450.481575076</v>
      </c>
      <c r="M63" s="22">
        <f t="shared" si="21"/>
        <v>23551687.947104335</v>
      </c>
      <c r="N63" s="22">
        <f t="shared" si="21"/>
        <v>24489288.104124129</v>
      </c>
      <c r="O63" s="22">
        <f t="shared" si="21"/>
        <v>25481308.157859873</v>
      </c>
      <c r="P63" s="22">
        <f t="shared" si="21"/>
        <v>26532140.269330375</v>
      </c>
      <c r="Q63" s="22">
        <f t="shared" si="21"/>
        <v>27646538.802472368</v>
      </c>
      <c r="R63" s="22">
        <f t="shared" si="21"/>
        <v>28829649.766556062</v>
      </c>
      <c r="S63" s="22">
        <f t="shared" si="21"/>
        <v>30087042.630008496</v>
      </c>
      <c r="T63" s="22">
        <f t="shared" si="21"/>
        <v>31424744.695866045</v>
      </c>
      <c r="U63" s="22">
        <f t="shared" si="21"/>
        <v>14748842.01226427</v>
      </c>
      <c r="V63" s="6"/>
    </row>
    <row r="64" spans="2:22" x14ac:dyDescent="0.2">
      <c r="B64" s="201"/>
      <c r="C64" s="199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6"/>
    </row>
    <row r="65" spans="2:22" x14ac:dyDescent="0.2">
      <c r="B65" s="204" t="s">
        <v>249</v>
      </c>
      <c r="C65" s="199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6"/>
    </row>
    <row r="66" spans="2:22" x14ac:dyDescent="0.2">
      <c r="B66" s="205" t="s">
        <v>237</v>
      </c>
      <c r="C66" s="199"/>
      <c r="D66" s="5"/>
      <c r="E66" s="5"/>
      <c r="F66" s="22">
        <f>IF(F$46="","",0)</f>
        <v>0</v>
      </c>
      <c r="G66" s="207">
        <f>IF(G$46="","",F$70)</f>
        <v>1966879.1736615384</v>
      </c>
      <c r="H66" s="207">
        <f t="shared" ref="H66:U66" si="22">IF(H$46="","",G$70)</f>
        <v>2074152.8556726321</v>
      </c>
      <c r="I66" s="207">
        <f t="shared" si="22"/>
        <v>2172038.490713947</v>
      </c>
      <c r="J66" s="207">
        <f t="shared" si="22"/>
        <v>2252094.4483299805</v>
      </c>
      <c r="K66" s="207">
        <f t="shared" si="22"/>
        <v>2336262.2416639188</v>
      </c>
      <c r="L66" s="207">
        <f t="shared" si="22"/>
        <v>2424869.8048014846</v>
      </c>
      <c r="M66" s="207">
        <f t="shared" si="22"/>
        <v>2518272.2757305638</v>
      </c>
      <c r="N66" s="207">
        <f t="shared" si="22"/>
        <v>2616854.216344926</v>
      </c>
      <c r="O66" s="207">
        <f t="shared" si="22"/>
        <v>2721032.0115693482</v>
      </c>
      <c r="P66" s="207">
        <f t="shared" si="22"/>
        <v>2831256.4619844309</v>
      </c>
      <c r="Q66" s="207">
        <f t="shared" si="22"/>
        <v>2948015.5854811533</v>
      </c>
      <c r="R66" s="207">
        <f t="shared" si="22"/>
        <v>3071837.6447191527</v>
      </c>
      <c r="S66" s="207">
        <f t="shared" si="22"/>
        <v>3203294.4185062298</v>
      </c>
      <c r="T66" s="207">
        <f t="shared" si="22"/>
        <v>3343004.7366676116</v>
      </c>
      <c r="U66" s="207">
        <f t="shared" si="22"/>
        <v>3491638.2995406725</v>
      </c>
      <c r="V66" s="6"/>
    </row>
    <row r="67" spans="2:22" x14ac:dyDescent="0.2">
      <c r="B67" s="206" t="s">
        <v>238</v>
      </c>
      <c r="C67" s="199"/>
      <c r="D67" s="5"/>
      <c r="E67" s="5"/>
      <c r="F67" s="22">
        <f t="shared" ref="F67:U67" si="23">IF(F$46="","",-MIN(0,F$51*Equity_Share_Sponsor))</f>
        <v>1966879.1736615384</v>
      </c>
      <c r="G67" s="22">
        <f t="shared" si="23"/>
        <v>0</v>
      </c>
      <c r="H67" s="22">
        <f t="shared" si="23"/>
        <v>0</v>
      </c>
      <c r="I67" s="22">
        <f t="shared" si="23"/>
        <v>0</v>
      </c>
      <c r="J67" s="22">
        <f t="shared" si="23"/>
        <v>0</v>
      </c>
      <c r="K67" s="22">
        <f t="shared" si="23"/>
        <v>0</v>
      </c>
      <c r="L67" s="22">
        <f t="shared" si="23"/>
        <v>0</v>
      </c>
      <c r="M67" s="22">
        <f t="shared" si="23"/>
        <v>0</v>
      </c>
      <c r="N67" s="22">
        <f t="shared" si="23"/>
        <v>0</v>
      </c>
      <c r="O67" s="22">
        <f t="shared" si="23"/>
        <v>0</v>
      </c>
      <c r="P67" s="22">
        <f t="shared" si="23"/>
        <v>0</v>
      </c>
      <c r="Q67" s="22">
        <f t="shared" si="23"/>
        <v>0</v>
      </c>
      <c r="R67" s="22">
        <f t="shared" si="23"/>
        <v>0</v>
      </c>
      <c r="S67" s="22">
        <f t="shared" si="23"/>
        <v>0</v>
      </c>
      <c r="T67" s="22">
        <f t="shared" si="23"/>
        <v>0</v>
      </c>
      <c r="U67" s="22">
        <f t="shared" si="23"/>
        <v>0</v>
      </c>
      <c r="V67" s="6"/>
    </row>
    <row r="68" spans="2:22" x14ac:dyDescent="0.2">
      <c r="B68" s="206" t="s">
        <v>239</v>
      </c>
      <c r="C68" s="199"/>
      <c r="D68" s="5"/>
      <c r="E68" s="5"/>
      <c r="F68" s="22">
        <f t="shared" ref="F68:U68" si="24">IF($D$4="IRR",F$66*Preferred_Return,0)</f>
        <v>0</v>
      </c>
      <c r="G68" s="22">
        <f t="shared" si="24"/>
        <v>157350.33389292308</v>
      </c>
      <c r="H68" s="22">
        <f t="shared" si="24"/>
        <v>165932.22845381056</v>
      </c>
      <c r="I68" s="22">
        <f t="shared" si="24"/>
        <v>173763.07925711575</v>
      </c>
      <c r="J68" s="22">
        <f t="shared" si="24"/>
        <v>180167.55586639844</v>
      </c>
      <c r="K68" s="22">
        <f t="shared" si="24"/>
        <v>186900.9793331135</v>
      </c>
      <c r="L68" s="22">
        <f t="shared" si="24"/>
        <v>193989.58438411876</v>
      </c>
      <c r="M68" s="22">
        <f t="shared" si="24"/>
        <v>201461.7820584451</v>
      </c>
      <c r="N68" s="22">
        <f t="shared" si="24"/>
        <v>209348.33730759408</v>
      </c>
      <c r="O68" s="22">
        <f t="shared" si="24"/>
        <v>217682.56092554785</v>
      </c>
      <c r="P68" s="22">
        <f t="shared" si="24"/>
        <v>226500.51695875448</v>
      </c>
      <c r="Q68" s="22">
        <f t="shared" si="24"/>
        <v>235841.24683849228</v>
      </c>
      <c r="R68" s="22">
        <f t="shared" si="24"/>
        <v>245747.01157753222</v>
      </c>
      <c r="S68" s="22">
        <f t="shared" si="24"/>
        <v>256263.55348049838</v>
      </c>
      <c r="T68" s="22">
        <f t="shared" si="24"/>
        <v>267440.37893340894</v>
      </c>
      <c r="U68" s="22">
        <f t="shared" si="24"/>
        <v>279331.06396325381</v>
      </c>
      <c r="V68" s="6"/>
    </row>
    <row r="69" spans="2:22" ht="19" x14ac:dyDescent="0.35">
      <c r="B69" s="206" t="s">
        <v>240</v>
      </c>
      <c r="C69" s="199"/>
      <c r="D69" s="5"/>
      <c r="E69" s="5"/>
      <c r="F69" s="23">
        <f>IF(F$46="","",F$79)</f>
        <v>0</v>
      </c>
      <c r="G69" s="23">
        <f t="shared" ref="G69:U69" si="25">IF(G$46="","",G$79)</f>
        <v>50076.651881829071</v>
      </c>
      <c r="H69" s="23">
        <f t="shared" si="25"/>
        <v>68046.593412495771</v>
      </c>
      <c r="I69" s="23">
        <f t="shared" si="25"/>
        <v>93707.121641082296</v>
      </c>
      <c r="J69" s="23">
        <f t="shared" si="25"/>
        <v>95999.762532459921</v>
      </c>
      <c r="K69" s="23">
        <f t="shared" si="25"/>
        <v>98293.416195547703</v>
      </c>
      <c r="L69" s="23">
        <f t="shared" si="25"/>
        <v>100587.11345503957</v>
      </c>
      <c r="M69" s="23">
        <f t="shared" si="25"/>
        <v>102879.84144408305</v>
      </c>
      <c r="N69" s="23">
        <f t="shared" si="25"/>
        <v>105170.54208317235</v>
      </c>
      <c r="O69" s="23">
        <f t="shared" si="25"/>
        <v>107458.11051046521</v>
      </c>
      <c r="P69" s="23">
        <f t="shared" si="25"/>
        <v>109741.39346203196</v>
      </c>
      <c r="Q69" s="23">
        <f t="shared" si="25"/>
        <v>112019.18760049281</v>
      </c>
      <c r="R69" s="23">
        <f t="shared" si="25"/>
        <v>114290.23779045518</v>
      </c>
      <c r="S69" s="23">
        <f t="shared" si="25"/>
        <v>116553.23531911679</v>
      </c>
      <c r="T69" s="23">
        <f t="shared" si="25"/>
        <v>118806.81606034812</v>
      </c>
      <c r="U69" s="23">
        <f t="shared" si="25"/>
        <v>245130.20019629929</v>
      </c>
      <c r="V69" s="6"/>
    </row>
    <row r="70" spans="2:22" x14ac:dyDescent="0.2">
      <c r="B70" s="205" t="s">
        <v>241</v>
      </c>
      <c r="C70" s="199"/>
      <c r="D70" s="5"/>
      <c r="E70" s="5"/>
      <c r="F70" s="22">
        <f>IF(F$46="","",IF($D$4="EM",MAX(F$66+F$67+F$68-F$69,0),F$66+F$67+F$68-F$69))</f>
        <v>1966879.1736615384</v>
      </c>
      <c r="G70" s="22">
        <f t="shared" ref="G70:U70" si="26">IF(G$46="","",IF($D$4="EM",MAX(G$66+G$67+G$68-G$69,0),G$66+G$67+G$68-G$69))</f>
        <v>2074152.8556726321</v>
      </c>
      <c r="H70" s="22">
        <f t="shared" si="26"/>
        <v>2172038.490713947</v>
      </c>
      <c r="I70" s="22">
        <f t="shared" si="26"/>
        <v>2252094.4483299805</v>
      </c>
      <c r="J70" s="22">
        <f t="shared" si="26"/>
        <v>2336262.2416639188</v>
      </c>
      <c r="K70" s="22">
        <f t="shared" si="26"/>
        <v>2424869.8048014846</v>
      </c>
      <c r="L70" s="22">
        <f t="shared" si="26"/>
        <v>2518272.2757305638</v>
      </c>
      <c r="M70" s="22">
        <f t="shared" si="26"/>
        <v>2616854.216344926</v>
      </c>
      <c r="N70" s="22">
        <f t="shared" si="26"/>
        <v>2721032.0115693482</v>
      </c>
      <c r="O70" s="22">
        <f t="shared" si="26"/>
        <v>2831256.4619844309</v>
      </c>
      <c r="P70" s="22">
        <f t="shared" si="26"/>
        <v>2948015.5854811533</v>
      </c>
      <c r="Q70" s="22">
        <f t="shared" si="26"/>
        <v>3071837.6447191527</v>
      </c>
      <c r="R70" s="22">
        <f t="shared" si="26"/>
        <v>3203294.4185062298</v>
      </c>
      <c r="S70" s="22">
        <f t="shared" si="26"/>
        <v>3343004.7366676116</v>
      </c>
      <c r="T70" s="22">
        <f t="shared" si="26"/>
        <v>3491638.2995406725</v>
      </c>
      <c r="U70" s="22">
        <f t="shared" si="26"/>
        <v>3525839.1633076272</v>
      </c>
      <c r="V70" s="6"/>
    </row>
    <row r="71" spans="2:22" x14ac:dyDescent="0.2">
      <c r="B71" s="201"/>
      <c r="C71" s="199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6"/>
    </row>
    <row r="72" spans="2:22" x14ac:dyDescent="0.2">
      <c r="B72" s="200" t="s">
        <v>242</v>
      </c>
      <c r="C72" s="199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6"/>
    </row>
    <row r="73" spans="2:22" x14ac:dyDescent="0.2">
      <c r="B73" s="203" t="s">
        <v>243</v>
      </c>
      <c r="C73" s="199"/>
      <c r="D73" s="5"/>
      <c r="E73" s="5"/>
      <c r="F73" s="22">
        <f>IF($D$4="EM",(SUM($F$60:$U$60)*Preferred_Return),INDEX($F$63:$U$63,MATCH(Effective_Hold_Period,$F$46:$U$46,0)))</f>
        <v>14748842.01226427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6"/>
    </row>
    <row r="74" spans="2:22" x14ac:dyDescent="0.2">
      <c r="B74" s="202" t="s">
        <v>244</v>
      </c>
      <c r="C74" s="199"/>
      <c r="D74" s="5"/>
      <c r="E74" s="5"/>
      <c r="F74" s="22">
        <f>IF(F$46="","",0)</f>
        <v>0</v>
      </c>
      <c r="G74" s="22">
        <f>IF(G$46="","",SUM($F$62:F$62))</f>
        <v>0</v>
      </c>
      <c r="H74" s="22">
        <f>IF(H$46="","",SUM($F$62:G$62))</f>
        <v>450689.86693646159</v>
      </c>
      <c r="I74" s="22">
        <f>IF(I$46="","",SUM($F$62:H$62))</f>
        <v>1063109.2076489234</v>
      </c>
      <c r="J74" s="22">
        <f>IF(J$46="","",SUM($F$62:I$62))</f>
        <v>1906473.3024186641</v>
      </c>
      <c r="K74" s="22">
        <f>IF(K$46="","",SUM($F$62:J$62))</f>
        <v>2770471.1652108035</v>
      </c>
      <c r="L74" s="22">
        <f>IF(L$46="","",SUM($F$62:K$62))</f>
        <v>3655111.9109707326</v>
      </c>
      <c r="M74" s="22">
        <f>IF(M$46="","",SUM($F$62:L$62))</f>
        <v>4560395.9320660885</v>
      </c>
      <c r="N74" s="22">
        <f>IF(N$46="","",SUM($F$62:M$62))</f>
        <v>5486314.5050628362</v>
      </c>
      <c r="O74" s="22">
        <f>IF(O$46="","",SUM($F$62:N$62))</f>
        <v>6432849.3838113872</v>
      </c>
      <c r="P74" s="22">
        <f>IF(P$46="","",SUM($F$62:O$62))</f>
        <v>7399972.3784055738</v>
      </c>
      <c r="Q74" s="22">
        <f>IF(Q$46="","",SUM($F$62:P$62))</f>
        <v>8387644.9195638616</v>
      </c>
      <c r="R74" s="22">
        <f>IF(R$46="","",SUM($F$62:Q$62))</f>
        <v>9395817.6079682969</v>
      </c>
      <c r="S74" s="22">
        <f>IF(S$46="","",SUM($F$62:R$62))</f>
        <v>10424429.748082394</v>
      </c>
      <c r="T74" s="22">
        <f>IF(T$46="","",SUM($F$62:S$62))</f>
        <v>11473408.865954444</v>
      </c>
      <c r="U74" s="22">
        <f>IF(U$46="","",SUM($F$62:T$62))</f>
        <v>12542670.210497577</v>
      </c>
      <c r="V74" s="6"/>
    </row>
    <row r="75" spans="2:22" x14ac:dyDescent="0.2">
      <c r="B75" s="203" t="s">
        <v>245</v>
      </c>
      <c r="C75" s="199"/>
      <c r="D75" s="5"/>
      <c r="E75" s="5"/>
      <c r="F75" s="130">
        <f>IF(F$46="","",MAX($F$73-F$74,0))</f>
        <v>14748842.01226427</v>
      </c>
      <c r="G75" s="130">
        <f t="shared" ref="G75:U75" si="27">IF(G$46="","",MAX($F$73-G$74,0))</f>
        <v>14748842.01226427</v>
      </c>
      <c r="H75" s="130">
        <f t="shared" si="27"/>
        <v>14298152.145327808</v>
      </c>
      <c r="I75" s="130">
        <f t="shared" si="27"/>
        <v>13685732.804615347</v>
      </c>
      <c r="J75" s="130">
        <f t="shared" si="27"/>
        <v>12842368.709845606</v>
      </c>
      <c r="K75" s="130">
        <f t="shared" si="27"/>
        <v>11978370.847053466</v>
      </c>
      <c r="L75" s="130">
        <f t="shared" si="27"/>
        <v>11093730.101293538</v>
      </c>
      <c r="M75" s="130">
        <f t="shared" si="27"/>
        <v>10188446.080198182</v>
      </c>
      <c r="N75" s="130">
        <f t="shared" si="27"/>
        <v>9262527.5072014332</v>
      </c>
      <c r="O75" s="130">
        <f t="shared" si="27"/>
        <v>8315992.6284528831</v>
      </c>
      <c r="P75" s="130">
        <f t="shared" si="27"/>
        <v>7348869.6338586966</v>
      </c>
      <c r="Q75" s="130">
        <f t="shared" si="27"/>
        <v>6361197.0927004088</v>
      </c>
      <c r="R75" s="130">
        <f t="shared" si="27"/>
        <v>5353024.4042959735</v>
      </c>
      <c r="S75" s="130">
        <f t="shared" si="27"/>
        <v>4324412.2641818766</v>
      </c>
      <c r="T75" s="130">
        <f t="shared" si="27"/>
        <v>3275433.1463098265</v>
      </c>
      <c r="U75" s="130">
        <f t="shared" si="27"/>
        <v>2206171.8017666936</v>
      </c>
      <c r="V75" s="6"/>
    </row>
    <row r="76" spans="2:22" x14ac:dyDescent="0.2">
      <c r="B76" s="203"/>
      <c r="C76" s="199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6"/>
    </row>
    <row r="77" spans="2:22" x14ac:dyDescent="0.2">
      <c r="B77" s="203" t="s">
        <v>246</v>
      </c>
      <c r="C77" s="199"/>
      <c r="D77" s="5"/>
      <c r="E77" s="5"/>
      <c r="F77" s="22">
        <f>IF(F$46="","",MAX(F$51,0))</f>
        <v>0</v>
      </c>
      <c r="G77" s="22">
        <f t="shared" ref="G77:U77" si="28">IF(G$46="","",MAX(G$51,0))</f>
        <v>500766.51881829067</v>
      </c>
      <c r="H77" s="22">
        <f t="shared" si="28"/>
        <v>680465.93412495754</v>
      </c>
      <c r="I77" s="22">
        <f t="shared" si="28"/>
        <v>937071.21641082293</v>
      </c>
      <c r="J77" s="22">
        <f t="shared" si="28"/>
        <v>959997.62532459921</v>
      </c>
      <c r="K77" s="22">
        <f t="shared" si="28"/>
        <v>982934.16195547697</v>
      </c>
      <c r="L77" s="22">
        <f t="shared" si="28"/>
        <v>1005871.1345503957</v>
      </c>
      <c r="M77" s="22">
        <f t="shared" si="28"/>
        <v>1028798.4144408305</v>
      </c>
      <c r="N77" s="22">
        <f t="shared" si="28"/>
        <v>1051705.4208317234</v>
      </c>
      <c r="O77" s="22">
        <f t="shared" si="28"/>
        <v>1074581.105104652</v>
      </c>
      <c r="P77" s="22">
        <f t="shared" si="28"/>
        <v>1097413.9346203196</v>
      </c>
      <c r="Q77" s="22">
        <f t="shared" si="28"/>
        <v>1120191.876004928</v>
      </c>
      <c r="R77" s="22">
        <f t="shared" si="28"/>
        <v>1142902.3779045518</v>
      </c>
      <c r="S77" s="22">
        <f t="shared" si="28"/>
        <v>1165532.3531911678</v>
      </c>
      <c r="T77" s="22">
        <f t="shared" si="28"/>
        <v>1188068.1606034811</v>
      </c>
      <c r="U77" s="22">
        <f t="shared" si="28"/>
        <v>21322091.399190065</v>
      </c>
      <c r="V77" s="6"/>
    </row>
    <row r="78" spans="2:22" x14ac:dyDescent="0.2">
      <c r="B78" s="203" t="s">
        <v>223</v>
      </c>
      <c r="C78" s="199"/>
      <c r="D78" s="5"/>
      <c r="E78" s="5"/>
      <c r="F78" s="22">
        <f>IF(F$46="","",IF($D$5="LP First",MIN(F$75,F$77),MIN(F$75,F$77*$I$14)))</f>
        <v>0</v>
      </c>
      <c r="G78" s="22">
        <f t="shared" ref="G78:U78" si="29">IF(G$46="","",IF($D$5="LP First",MIN(G$75,G$77),MIN(G$75,G$77*$I$14)))</f>
        <v>450689.86693646159</v>
      </c>
      <c r="H78" s="22">
        <f t="shared" si="29"/>
        <v>612419.34071246185</v>
      </c>
      <c r="I78" s="22">
        <f t="shared" si="29"/>
        <v>843364.09476974071</v>
      </c>
      <c r="J78" s="22">
        <f t="shared" si="29"/>
        <v>863997.86279213929</v>
      </c>
      <c r="K78" s="22">
        <f t="shared" si="29"/>
        <v>884640.7457599293</v>
      </c>
      <c r="L78" s="22">
        <f t="shared" si="29"/>
        <v>905284.02109535609</v>
      </c>
      <c r="M78" s="22">
        <f t="shared" si="29"/>
        <v>925918.57299674745</v>
      </c>
      <c r="N78" s="22">
        <f t="shared" si="29"/>
        <v>946534.87874855101</v>
      </c>
      <c r="O78" s="22">
        <f t="shared" si="29"/>
        <v>967122.99459418678</v>
      </c>
      <c r="P78" s="22">
        <f t="shared" si="29"/>
        <v>987672.54115828767</v>
      </c>
      <c r="Q78" s="22">
        <f t="shared" si="29"/>
        <v>1008172.6884044353</v>
      </c>
      <c r="R78" s="22">
        <f t="shared" si="29"/>
        <v>1028612.1401140967</v>
      </c>
      <c r="S78" s="22">
        <f t="shared" si="29"/>
        <v>1048979.117872051</v>
      </c>
      <c r="T78" s="22">
        <f t="shared" si="29"/>
        <v>1069261.3445431329</v>
      </c>
      <c r="U78" s="22">
        <f t="shared" si="29"/>
        <v>2206171.8017666936</v>
      </c>
      <c r="V78" s="6"/>
    </row>
    <row r="79" spans="2:22" x14ac:dyDescent="0.2">
      <c r="B79" s="203" t="s">
        <v>224</v>
      </c>
      <c r="C79" s="199"/>
      <c r="D79" s="5"/>
      <c r="E79" s="5"/>
      <c r="F79" s="22">
        <f>IF(F$46="","",IF(GP_Only_No_LPs,F$77,IF($D$5="LP First",MAX(F$77-F$78,0),F$78/$I$14*$H$14)))</f>
        <v>0</v>
      </c>
      <c r="G79" s="22">
        <f>IF(G$46="","",IF(GP_Only_No_LPs,G$77,IF($D$5="LP First",MAX(G$77-G$78,0),G$78/$I$14*$H$14)))</f>
        <v>50076.651881829071</v>
      </c>
      <c r="H79" s="22">
        <f>IF(H$46="","",IF(GP_Only_No_LPs,H$77,IF($D$5="LP First",MAX(H$77-H$78,0),H$78/$I$14*$H$14)))</f>
        <v>68046.593412495771</v>
      </c>
      <c r="I79" s="22">
        <f>IF(I$46="","",IF(GP_Only_No_LPs,I$77,IF($D$5="LP First",MAX(I$77-I$78,0),I$78/$I$14*$H$14)))</f>
        <v>93707.121641082296</v>
      </c>
      <c r="J79" s="22">
        <f>IF(J$46="","",IF(GP_Only_No_LPs,J$77,IF($D$5="LP First",MAX(J$77-J$78,0),J$78/$I$14*$H$14)))</f>
        <v>95999.762532459921</v>
      </c>
      <c r="K79" s="22">
        <f>IF(K$46="","",IF(GP_Only_No_LPs,K$77,IF($D$5="LP First",MAX(K$77-K$78,0),K$78/$I$14*$H$14)))</f>
        <v>98293.416195547703</v>
      </c>
      <c r="L79" s="22">
        <f>IF(L$46="","",IF(GP_Only_No_LPs,L$77,IF($D$5="LP First",MAX(L$77-L$78,0),L$78/$I$14*$H$14)))</f>
        <v>100587.11345503957</v>
      </c>
      <c r="M79" s="22">
        <f>IF(M$46="","",IF(GP_Only_No_LPs,M$77,IF($D$5="LP First",MAX(M$77-M$78,0),M$78/$I$14*$H$14)))</f>
        <v>102879.84144408305</v>
      </c>
      <c r="N79" s="22">
        <f>IF(N$46="","",IF(GP_Only_No_LPs,N$77,IF($D$5="LP First",MAX(N$77-N$78,0),N$78/$I$14*$H$14)))</f>
        <v>105170.54208317235</v>
      </c>
      <c r="O79" s="22">
        <f>IF(O$46="","",IF(GP_Only_No_LPs,O$77,IF($D$5="LP First",MAX(O$77-O$78,0),O$78/$I$14*$H$14)))</f>
        <v>107458.11051046521</v>
      </c>
      <c r="P79" s="22">
        <f>IF(P$46="","",IF(GP_Only_No_LPs,P$77,IF($D$5="LP First",MAX(P$77-P$78,0),P$78/$I$14*$H$14)))</f>
        <v>109741.39346203196</v>
      </c>
      <c r="Q79" s="22">
        <f>IF(Q$46="","",IF(GP_Only_No_LPs,Q$77,IF($D$5="LP First",MAX(Q$77-Q$78,0),Q$78/$I$14*$H$14)))</f>
        <v>112019.18760049281</v>
      </c>
      <c r="R79" s="22">
        <f>IF(R$46="","",IF(GP_Only_No_LPs,R$77,IF($D$5="LP First",MAX(R$77-R$78,0),R$78/$I$14*$H$14)))</f>
        <v>114290.23779045518</v>
      </c>
      <c r="S79" s="22">
        <f>IF(S$46="","",IF(GP_Only_No_LPs,S$77,IF($D$5="LP First",MAX(S$77-S$78,0),S$78/$I$14*$H$14)))</f>
        <v>116553.23531911679</v>
      </c>
      <c r="T79" s="22">
        <f>IF(T$46="","",IF(GP_Only_No_LPs,T$77,IF($D$5="LP First",MAX(T$77-T$78,0),T$78/$I$14*$H$14)))</f>
        <v>118806.81606034812</v>
      </c>
      <c r="U79" s="22">
        <f>IF(U$46="","",IF(GP_Only_No_LPs,U$77,IF($D$5="LP First",MAX(U$77-U$78,0),U$78/$I$14*$H$14)))</f>
        <v>245130.20019629929</v>
      </c>
      <c r="V79" s="6"/>
    </row>
    <row r="80" spans="2:22" x14ac:dyDescent="0.2">
      <c r="B80" s="206" t="s">
        <v>247</v>
      </c>
      <c r="C80" s="199"/>
      <c r="D80" s="5"/>
      <c r="E80" s="5"/>
      <c r="F80" s="22">
        <f>IF(F$46="","",F$78+F$79)</f>
        <v>0</v>
      </c>
      <c r="G80" s="22">
        <f t="shared" ref="G80:U80" si="30">IF(G$46="","",G$78+G$79)</f>
        <v>500766.51881829067</v>
      </c>
      <c r="H80" s="22">
        <f t="shared" si="30"/>
        <v>680465.93412495765</v>
      </c>
      <c r="I80" s="22">
        <f t="shared" si="30"/>
        <v>937071.21641082305</v>
      </c>
      <c r="J80" s="22">
        <f t="shared" si="30"/>
        <v>959997.62532459921</v>
      </c>
      <c r="K80" s="22">
        <f t="shared" si="30"/>
        <v>982934.16195547697</v>
      </c>
      <c r="L80" s="22">
        <f t="shared" si="30"/>
        <v>1005871.1345503957</v>
      </c>
      <c r="M80" s="22">
        <f t="shared" si="30"/>
        <v>1028798.4144408305</v>
      </c>
      <c r="N80" s="22">
        <f t="shared" si="30"/>
        <v>1051705.4208317234</v>
      </c>
      <c r="O80" s="22">
        <f t="shared" si="30"/>
        <v>1074581.105104652</v>
      </c>
      <c r="P80" s="22">
        <f t="shared" si="30"/>
        <v>1097413.9346203196</v>
      </c>
      <c r="Q80" s="22">
        <f t="shared" si="30"/>
        <v>1120191.876004928</v>
      </c>
      <c r="R80" s="22">
        <f t="shared" si="30"/>
        <v>1142902.3779045518</v>
      </c>
      <c r="S80" s="22">
        <f t="shared" si="30"/>
        <v>1165532.3531911678</v>
      </c>
      <c r="T80" s="22">
        <f t="shared" si="30"/>
        <v>1188068.1606034811</v>
      </c>
      <c r="U80" s="22">
        <f t="shared" si="30"/>
        <v>2451302.0019629928</v>
      </c>
      <c r="V80" s="6"/>
    </row>
    <row r="81" spans="2:22" x14ac:dyDescent="0.2">
      <c r="B81" s="206" t="s">
        <v>184</v>
      </c>
      <c r="C81" s="199"/>
      <c r="D81" s="5"/>
      <c r="E81" s="5"/>
      <c r="F81" s="22">
        <f>IF(F$46="","",MAX(F$77-F$80,0))</f>
        <v>0</v>
      </c>
      <c r="G81" s="22">
        <f t="shared" ref="G81:U81" si="31">IF(G$46="","",MAX(G$77-G$80,0))</f>
        <v>0</v>
      </c>
      <c r="H81" s="22">
        <f t="shared" si="31"/>
        <v>0</v>
      </c>
      <c r="I81" s="22">
        <f t="shared" si="31"/>
        <v>0</v>
      </c>
      <c r="J81" s="22">
        <f t="shared" si="31"/>
        <v>0</v>
      </c>
      <c r="K81" s="22">
        <f t="shared" si="31"/>
        <v>0</v>
      </c>
      <c r="L81" s="22">
        <f t="shared" si="31"/>
        <v>0</v>
      </c>
      <c r="M81" s="22">
        <f t="shared" si="31"/>
        <v>0</v>
      </c>
      <c r="N81" s="22">
        <f t="shared" si="31"/>
        <v>0</v>
      </c>
      <c r="O81" s="22">
        <f t="shared" si="31"/>
        <v>0</v>
      </c>
      <c r="P81" s="22">
        <f t="shared" si="31"/>
        <v>0</v>
      </c>
      <c r="Q81" s="22">
        <f t="shared" si="31"/>
        <v>0</v>
      </c>
      <c r="R81" s="22">
        <f t="shared" si="31"/>
        <v>0</v>
      </c>
      <c r="S81" s="22">
        <f t="shared" si="31"/>
        <v>0</v>
      </c>
      <c r="T81" s="22">
        <f t="shared" si="31"/>
        <v>0</v>
      </c>
      <c r="U81" s="22">
        <f t="shared" si="31"/>
        <v>18870789.397227071</v>
      </c>
      <c r="V81" s="6"/>
    </row>
    <row r="82" spans="2:22" x14ac:dyDescent="0.2"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6"/>
    </row>
    <row r="83" spans="2:22" x14ac:dyDescent="0.2">
      <c r="B83" s="94" t="s">
        <v>49</v>
      </c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6"/>
    </row>
    <row r="84" spans="2:22" x14ac:dyDescent="0.2">
      <c r="B84" s="196" t="s">
        <v>183</v>
      </c>
      <c r="C84" s="197" t="str">
        <f>IF($D$4="IRR",TEXT($E$15,"0.00%"),TEXT($E$15,"0.00x"))</f>
        <v>12.00%</v>
      </c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8"/>
      <c r="P84" s="188"/>
      <c r="Q84" s="188"/>
      <c r="R84" s="188"/>
      <c r="S84" s="188"/>
      <c r="T84" s="188"/>
      <c r="U84" s="188"/>
      <c r="V84" s="193"/>
    </row>
    <row r="85" spans="2:22" x14ac:dyDescent="0.2">
      <c r="B85" s="204" t="s">
        <v>242</v>
      </c>
      <c r="C85" s="5"/>
      <c r="D85" s="5"/>
      <c r="E85" s="5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6"/>
    </row>
    <row r="86" spans="2:22" x14ac:dyDescent="0.2">
      <c r="B86" s="206" t="s">
        <v>243</v>
      </c>
      <c r="C86" s="5"/>
      <c r="D86" s="5"/>
      <c r="E86" s="5"/>
      <c r="F86" s="22">
        <f>IF($D$4="EM",SUM($F$60:$U$60)*$E$15,INDEX($F$63:$U$63,MATCH(Effective_Hold_Period,$F$46:$U$46,0))*($E$15/$E$14))</f>
        <v>22123263.018396407</v>
      </c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6"/>
    </row>
    <row r="87" spans="2:22" x14ac:dyDescent="0.2">
      <c r="B87" s="206" t="s">
        <v>244</v>
      </c>
      <c r="C87" s="5"/>
      <c r="D87" s="5"/>
      <c r="E87" s="5"/>
      <c r="F87" s="22">
        <f>IF(F$46="","",0)</f>
        <v>0</v>
      </c>
      <c r="G87" s="22">
        <f>IF(G$46="","",SUM($F$78:F$78))</f>
        <v>0</v>
      </c>
      <c r="H87" s="22">
        <f>IF(H$46="","",SUM($F$78:G$78))</f>
        <v>450689.86693646159</v>
      </c>
      <c r="I87" s="22">
        <f>IF(I$46="","",SUM($F$78:H$78))</f>
        <v>1063109.2076489234</v>
      </c>
      <c r="J87" s="22">
        <f>IF(J$46="","",SUM($F$78:I$78))</f>
        <v>1906473.3024186641</v>
      </c>
      <c r="K87" s="22">
        <f>IF(K$46="","",SUM($F$78:J$78))</f>
        <v>2770471.1652108035</v>
      </c>
      <c r="L87" s="22">
        <f>IF(L$46="","",SUM($F$78:K$78))</f>
        <v>3655111.9109707326</v>
      </c>
      <c r="M87" s="22">
        <f>IF(M$46="","",SUM($F$78:L$78))</f>
        <v>4560395.9320660885</v>
      </c>
      <c r="N87" s="22">
        <f>IF(N$46="","",SUM($F$78:M$78))</f>
        <v>5486314.5050628362</v>
      </c>
      <c r="O87" s="22">
        <f>IF(O$46="","",SUM($F$78:N$78))</f>
        <v>6432849.3838113872</v>
      </c>
      <c r="P87" s="22">
        <f>IF(P$46="","",SUM($F$78:O$78))</f>
        <v>7399972.3784055738</v>
      </c>
      <c r="Q87" s="22">
        <f>IF(Q$46="","",SUM($F$78:P$78))</f>
        <v>8387644.9195638616</v>
      </c>
      <c r="R87" s="22">
        <f>IF(R$46="","",SUM($F$78:Q$78))</f>
        <v>9395817.6079682969</v>
      </c>
      <c r="S87" s="22">
        <f>IF(S$46="","",SUM($F$78:R$78))</f>
        <v>10424429.748082394</v>
      </c>
      <c r="T87" s="22">
        <f>IF(T$46="","",SUM($F$78:S$78))</f>
        <v>11473408.865954444</v>
      </c>
      <c r="U87" s="22">
        <f>IF(U$46="","",SUM($F$78:T$78))</f>
        <v>12542670.210497577</v>
      </c>
      <c r="V87" s="6"/>
    </row>
    <row r="88" spans="2:22" x14ac:dyDescent="0.2">
      <c r="B88" s="206" t="s">
        <v>245</v>
      </c>
      <c r="C88" s="5"/>
      <c r="D88" s="5"/>
      <c r="E88" s="5"/>
      <c r="F88" s="22">
        <f>IF(F$46="","",MAX($F$86-F$87,0))</f>
        <v>22123263.018396407</v>
      </c>
      <c r="G88" s="22">
        <f t="shared" ref="G88:U88" si="32">IF(G$46="","",MAX($F$86-G$87,0))</f>
        <v>22123263.018396407</v>
      </c>
      <c r="H88" s="22">
        <f t="shared" si="32"/>
        <v>21672573.151459947</v>
      </c>
      <c r="I88" s="22">
        <f t="shared" si="32"/>
        <v>21060153.810747486</v>
      </c>
      <c r="J88" s="22">
        <f t="shared" si="32"/>
        <v>20216789.715977743</v>
      </c>
      <c r="K88" s="22">
        <f t="shared" si="32"/>
        <v>19352791.853185605</v>
      </c>
      <c r="L88" s="22">
        <f t="shared" si="32"/>
        <v>18468151.107425675</v>
      </c>
      <c r="M88" s="22">
        <f t="shared" si="32"/>
        <v>17562867.086330317</v>
      </c>
      <c r="N88" s="22">
        <f t="shared" si="32"/>
        <v>16636948.51333357</v>
      </c>
      <c r="O88" s="22">
        <f t="shared" si="32"/>
        <v>15690413.634585019</v>
      </c>
      <c r="P88" s="22">
        <f t="shared" si="32"/>
        <v>14723290.639990833</v>
      </c>
      <c r="Q88" s="22">
        <f t="shared" si="32"/>
        <v>13735618.098832546</v>
      </c>
      <c r="R88" s="22">
        <f t="shared" si="32"/>
        <v>12727445.410428111</v>
      </c>
      <c r="S88" s="22">
        <f t="shared" si="32"/>
        <v>11698833.270314014</v>
      </c>
      <c r="T88" s="22">
        <f t="shared" si="32"/>
        <v>10649854.152441964</v>
      </c>
      <c r="U88" s="22">
        <f t="shared" si="32"/>
        <v>9580592.8078988306</v>
      </c>
      <c r="V88" s="6"/>
    </row>
    <row r="89" spans="2:22" x14ac:dyDescent="0.2">
      <c r="B89" s="206"/>
      <c r="C89" s="5"/>
      <c r="D89" s="5"/>
      <c r="E89" s="5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6"/>
    </row>
    <row r="90" spans="2:22" x14ac:dyDescent="0.2">
      <c r="B90" s="206" t="s">
        <v>246</v>
      </c>
      <c r="C90" s="5"/>
      <c r="D90" s="5"/>
      <c r="E90" s="5"/>
      <c r="F90" s="22">
        <f>IF(F$46="","",MAX(F$81,0))</f>
        <v>0</v>
      </c>
      <c r="G90" s="22">
        <f t="shared" ref="G90:U90" si="33">IF(G$46="","",MAX(G$81,0))</f>
        <v>0</v>
      </c>
      <c r="H90" s="22">
        <f t="shared" si="33"/>
        <v>0</v>
      </c>
      <c r="I90" s="22">
        <f t="shared" si="33"/>
        <v>0</v>
      </c>
      <c r="J90" s="22">
        <f t="shared" si="33"/>
        <v>0</v>
      </c>
      <c r="K90" s="22">
        <f t="shared" si="33"/>
        <v>0</v>
      </c>
      <c r="L90" s="22">
        <f t="shared" si="33"/>
        <v>0</v>
      </c>
      <c r="M90" s="22">
        <f t="shared" si="33"/>
        <v>0</v>
      </c>
      <c r="N90" s="22">
        <f t="shared" si="33"/>
        <v>0</v>
      </c>
      <c r="O90" s="22">
        <f t="shared" si="33"/>
        <v>0</v>
      </c>
      <c r="P90" s="22">
        <f t="shared" si="33"/>
        <v>0</v>
      </c>
      <c r="Q90" s="22">
        <f t="shared" si="33"/>
        <v>0</v>
      </c>
      <c r="R90" s="22">
        <f t="shared" si="33"/>
        <v>0</v>
      </c>
      <c r="S90" s="22">
        <f t="shared" si="33"/>
        <v>0</v>
      </c>
      <c r="T90" s="22">
        <f t="shared" si="33"/>
        <v>0</v>
      </c>
      <c r="U90" s="22">
        <f t="shared" si="33"/>
        <v>18870789.397227071</v>
      </c>
      <c r="V90" s="6"/>
    </row>
    <row r="91" spans="2:22" x14ac:dyDescent="0.2">
      <c r="B91" s="206" t="s">
        <v>223</v>
      </c>
      <c r="C91" s="5"/>
      <c r="D91" s="5"/>
      <c r="E91" s="5"/>
      <c r="F91" s="22">
        <f>IF(F$46="","",MIN(F$88,F$90*$I$15))</f>
        <v>0</v>
      </c>
      <c r="G91" s="22">
        <f t="shared" ref="G91:U91" si="34">IF(G$46="","",MIN(G$88,G$90*$I$15))</f>
        <v>0</v>
      </c>
      <c r="H91" s="22">
        <f t="shared" si="34"/>
        <v>0</v>
      </c>
      <c r="I91" s="22">
        <f t="shared" si="34"/>
        <v>0</v>
      </c>
      <c r="J91" s="22">
        <f t="shared" si="34"/>
        <v>0</v>
      </c>
      <c r="K91" s="22">
        <f t="shared" si="34"/>
        <v>0</v>
      </c>
      <c r="L91" s="22">
        <f t="shared" si="34"/>
        <v>0</v>
      </c>
      <c r="M91" s="22">
        <f t="shared" si="34"/>
        <v>0</v>
      </c>
      <c r="N91" s="22">
        <f t="shared" si="34"/>
        <v>0</v>
      </c>
      <c r="O91" s="22">
        <f t="shared" si="34"/>
        <v>0</v>
      </c>
      <c r="P91" s="22">
        <f t="shared" si="34"/>
        <v>0</v>
      </c>
      <c r="Q91" s="22">
        <f t="shared" si="34"/>
        <v>0</v>
      </c>
      <c r="R91" s="22">
        <f t="shared" si="34"/>
        <v>0</v>
      </c>
      <c r="S91" s="22">
        <f t="shared" si="34"/>
        <v>0</v>
      </c>
      <c r="T91" s="22">
        <f t="shared" si="34"/>
        <v>0</v>
      </c>
      <c r="U91" s="22">
        <f t="shared" si="34"/>
        <v>9580592.8078988306</v>
      </c>
      <c r="V91" s="6"/>
    </row>
    <row r="92" spans="2:22" x14ac:dyDescent="0.2">
      <c r="B92" s="206" t="s">
        <v>224</v>
      </c>
      <c r="C92" s="5"/>
      <c r="D92" s="5"/>
      <c r="E92" s="5"/>
      <c r="F92" s="22">
        <f t="shared" ref="F92:U92" si="35">IF(F$46="","",IF(GP_Only_No_LPs,F$90,F$91/$I$15*$H$15))</f>
        <v>0</v>
      </c>
      <c r="G92" s="22">
        <f t="shared" si="35"/>
        <v>0</v>
      </c>
      <c r="H92" s="22">
        <f t="shared" si="35"/>
        <v>0</v>
      </c>
      <c r="I92" s="22">
        <f t="shared" si="35"/>
        <v>0</v>
      </c>
      <c r="J92" s="22">
        <f t="shared" si="35"/>
        <v>0</v>
      </c>
      <c r="K92" s="22">
        <f t="shared" si="35"/>
        <v>0</v>
      </c>
      <c r="L92" s="22">
        <f t="shared" si="35"/>
        <v>0</v>
      </c>
      <c r="M92" s="22">
        <f t="shared" si="35"/>
        <v>0</v>
      </c>
      <c r="N92" s="22">
        <f t="shared" si="35"/>
        <v>0</v>
      </c>
      <c r="O92" s="22">
        <f t="shared" si="35"/>
        <v>0</v>
      </c>
      <c r="P92" s="22">
        <f t="shared" si="35"/>
        <v>0</v>
      </c>
      <c r="Q92" s="22">
        <f t="shared" si="35"/>
        <v>0</v>
      </c>
      <c r="R92" s="22">
        <f t="shared" si="35"/>
        <v>0</v>
      </c>
      <c r="S92" s="22">
        <f t="shared" si="35"/>
        <v>0</v>
      </c>
      <c r="T92" s="22">
        <f t="shared" si="35"/>
        <v>0</v>
      </c>
      <c r="U92" s="22">
        <f t="shared" si="35"/>
        <v>2247299.5475318236</v>
      </c>
      <c r="V92" s="6"/>
    </row>
    <row r="93" spans="2:22" x14ac:dyDescent="0.2">
      <c r="B93" s="206" t="s">
        <v>247</v>
      </c>
      <c r="C93" s="5"/>
      <c r="D93" s="5"/>
      <c r="E93" s="5"/>
      <c r="F93" s="22">
        <f>IF(F$46="","",F$91+F$92)</f>
        <v>0</v>
      </c>
      <c r="G93" s="22">
        <f t="shared" ref="G93:U93" si="36">IF(G$46="","",G$91+G$92)</f>
        <v>0</v>
      </c>
      <c r="H93" s="22">
        <f t="shared" si="36"/>
        <v>0</v>
      </c>
      <c r="I93" s="22">
        <f t="shared" si="36"/>
        <v>0</v>
      </c>
      <c r="J93" s="22">
        <f t="shared" si="36"/>
        <v>0</v>
      </c>
      <c r="K93" s="22">
        <f t="shared" si="36"/>
        <v>0</v>
      </c>
      <c r="L93" s="22">
        <f t="shared" si="36"/>
        <v>0</v>
      </c>
      <c r="M93" s="22">
        <f t="shared" si="36"/>
        <v>0</v>
      </c>
      <c r="N93" s="22">
        <f t="shared" si="36"/>
        <v>0</v>
      </c>
      <c r="O93" s="22">
        <f t="shared" si="36"/>
        <v>0</v>
      </c>
      <c r="P93" s="22">
        <f t="shared" si="36"/>
        <v>0</v>
      </c>
      <c r="Q93" s="22">
        <f t="shared" si="36"/>
        <v>0</v>
      </c>
      <c r="R93" s="22">
        <f t="shared" si="36"/>
        <v>0</v>
      </c>
      <c r="S93" s="22">
        <f t="shared" si="36"/>
        <v>0</v>
      </c>
      <c r="T93" s="22">
        <f t="shared" si="36"/>
        <v>0</v>
      </c>
      <c r="U93" s="22">
        <f t="shared" si="36"/>
        <v>11827892.355430655</v>
      </c>
      <c r="V93" s="6"/>
    </row>
    <row r="94" spans="2:22" x14ac:dyDescent="0.2">
      <c r="B94" s="206" t="s">
        <v>184</v>
      </c>
      <c r="C94" s="5"/>
      <c r="D94" s="5"/>
      <c r="E94" s="5"/>
      <c r="F94" s="22">
        <f>IF(F$46="","",MAX(F$90-F$93,0))</f>
        <v>0</v>
      </c>
      <c r="G94" s="22">
        <f t="shared" ref="G94:U94" si="37">IF(G$46="","",MAX(G$90-G$93,0))</f>
        <v>0</v>
      </c>
      <c r="H94" s="22">
        <f t="shared" si="37"/>
        <v>0</v>
      </c>
      <c r="I94" s="22">
        <f t="shared" si="37"/>
        <v>0</v>
      </c>
      <c r="J94" s="22">
        <f t="shared" si="37"/>
        <v>0</v>
      </c>
      <c r="K94" s="22">
        <f t="shared" si="37"/>
        <v>0</v>
      </c>
      <c r="L94" s="22">
        <f t="shared" si="37"/>
        <v>0</v>
      </c>
      <c r="M94" s="22">
        <f t="shared" si="37"/>
        <v>0</v>
      </c>
      <c r="N94" s="22">
        <f t="shared" si="37"/>
        <v>0</v>
      </c>
      <c r="O94" s="22">
        <f t="shared" si="37"/>
        <v>0</v>
      </c>
      <c r="P94" s="22">
        <f t="shared" si="37"/>
        <v>0</v>
      </c>
      <c r="Q94" s="22">
        <f t="shared" si="37"/>
        <v>0</v>
      </c>
      <c r="R94" s="22">
        <f t="shared" si="37"/>
        <v>0</v>
      </c>
      <c r="S94" s="22">
        <f t="shared" si="37"/>
        <v>0</v>
      </c>
      <c r="T94" s="22">
        <f t="shared" si="37"/>
        <v>0</v>
      </c>
      <c r="U94" s="22">
        <f t="shared" si="37"/>
        <v>7042897.041796416</v>
      </c>
      <c r="V94" s="6"/>
    </row>
    <row r="95" spans="2:22" x14ac:dyDescent="0.2">
      <c r="B95" s="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6"/>
    </row>
    <row r="96" spans="2:22" x14ac:dyDescent="0.2">
      <c r="B96" s="94" t="s">
        <v>51</v>
      </c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6"/>
    </row>
    <row r="97" spans="2:22" x14ac:dyDescent="0.2">
      <c r="B97" s="196" t="s">
        <v>183</v>
      </c>
      <c r="C97" s="197" t="str">
        <f>IF($D$4="IRR",TEXT($E$16,"0.00%"),TEXT($E$16,"0.00x"))</f>
        <v>15.00%</v>
      </c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8"/>
      <c r="P97" s="188"/>
      <c r="Q97" s="188"/>
      <c r="R97" s="188"/>
      <c r="S97" s="188"/>
      <c r="T97" s="188"/>
      <c r="U97" s="188"/>
      <c r="V97" s="193"/>
    </row>
    <row r="98" spans="2:22" x14ac:dyDescent="0.2">
      <c r="B98" s="204" t="s">
        <v>242</v>
      </c>
      <c r="C98" s="5"/>
      <c r="D98" s="5"/>
      <c r="E98" s="5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6"/>
    </row>
    <row r="99" spans="2:22" x14ac:dyDescent="0.2">
      <c r="B99" s="206" t="s">
        <v>243</v>
      </c>
      <c r="C99" s="5"/>
      <c r="D99" s="5"/>
      <c r="E99" s="5"/>
      <c r="F99" s="22">
        <f>IF($D$4="EM",SUM($F$60:$U$60)*$E$16,INDEX($F$63:$U$63,MATCH(Effective_Hold_Period,$F$46:$U$46,0))*($E$16/$E$14))</f>
        <v>27654078.772995505</v>
      </c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6"/>
    </row>
    <row r="100" spans="2:22" x14ac:dyDescent="0.2">
      <c r="B100" s="206" t="s">
        <v>244</v>
      </c>
      <c r="C100" s="5"/>
      <c r="D100" s="5"/>
      <c r="E100" s="5"/>
      <c r="F100" s="22">
        <f>IF(F$46="","",0)</f>
        <v>0</v>
      </c>
      <c r="G100" s="22">
        <f>IF(G$46="","",SUM($F$78:F$78)+SUM($F$91:F$91))</f>
        <v>0</v>
      </c>
      <c r="H100" s="22">
        <f>IF(H$46="","",SUM($F$78:G$78)+SUM($F$91:G$91))</f>
        <v>450689.86693646159</v>
      </c>
      <c r="I100" s="22">
        <f>IF(I$46="","",SUM($F$78:H$78)+SUM($F$91:H$91))</f>
        <v>1063109.2076489234</v>
      </c>
      <c r="J100" s="22">
        <f>IF(J$46="","",SUM($F$78:I$78)+SUM($F$91:I$91))</f>
        <v>1906473.3024186641</v>
      </c>
      <c r="K100" s="22">
        <f>IF(K$46="","",SUM($F$78:J$78)+SUM($F$91:J$91))</f>
        <v>2770471.1652108035</v>
      </c>
      <c r="L100" s="22">
        <f>IF(L$46="","",SUM($F$78:K$78)+SUM($F$91:K$91))</f>
        <v>3655111.9109707326</v>
      </c>
      <c r="M100" s="22">
        <f>IF(M$46="","",SUM($F$78:L$78)+SUM($F$91:L$91))</f>
        <v>4560395.9320660885</v>
      </c>
      <c r="N100" s="22">
        <f>IF(N$46="","",SUM($F$78:M$78)+SUM($F$91:M$91))</f>
        <v>5486314.5050628362</v>
      </c>
      <c r="O100" s="22">
        <f>IF(O$46="","",SUM($F$78:N$78)+SUM($F$91:N$91))</f>
        <v>6432849.3838113872</v>
      </c>
      <c r="P100" s="22">
        <f>IF(P$46="","",SUM($F$78:O$78)+SUM($F$91:O$91))</f>
        <v>7399972.3784055738</v>
      </c>
      <c r="Q100" s="22">
        <f>IF(Q$46="","",SUM($F$78:P$78)+SUM($F$91:P$91))</f>
        <v>8387644.9195638616</v>
      </c>
      <c r="R100" s="22">
        <f>IF(R$46="","",SUM($F$78:Q$78)+SUM($F$91:Q$91))</f>
        <v>9395817.6079682969</v>
      </c>
      <c r="S100" s="22">
        <f>IF(S$46="","",SUM($F$78:R$78)+SUM($F$91:R$91))</f>
        <v>10424429.748082394</v>
      </c>
      <c r="T100" s="22">
        <f>IF(T$46="","",SUM($F$78:S$78)+SUM($F$91:S$91))</f>
        <v>11473408.865954444</v>
      </c>
      <c r="U100" s="22">
        <f>IF(U$46="","",SUM($F$78:T$78)+SUM($F$91:T$91))</f>
        <v>12542670.210497577</v>
      </c>
      <c r="V100" s="6"/>
    </row>
    <row r="101" spans="2:22" x14ac:dyDescent="0.2">
      <c r="B101" s="206" t="s">
        <v>245</v>
      </c>
      <c r="C101" s="5"/>
      <c r="D101" s="5"/>
      <c r="E101" s="5"/>
      <c r="F101" s="22">
        <f>IF(F$46="","",MAX($F$99-F$100,0))</f>
        <v>27654078.772995505</v>
      </c>
      <c r="G101" s="22">
        <f t="shared" ref="G101:U101" si="38">IF(G$46="","",MAX($F$99-G$100,0))</f>
        <v>27654078.772995505</v>
      </c>
      <c r="H101" s="22">
        <f t="shared" si="38"/>
        <v>27203388.906059045</v>
      </c>
      <c r="I101" s="22">
        <f t="shared" si="38"/>
        <v>26590969.565346584</v>
      </c>
      <c r="J101" s="22">
        <f t="shared" si="38"/>
        <v>25747605.470576841</v>
      </c>
      <c r="K101" s="22">
        <f t="shared" si="38"/>
        <v>24883607.607784703</v>
      </c>
      <c r="L101" s="22">
        <f t="shared" si="38"/>
        <v>23998966.862024773</v>
      </c>
      <c r="M101" s="22">
        <f t="shared" si="38"/>
        <v>23093682.840929419</v>
      </c>
      <c r="N101" s="22">
        <f t="shared" si="38"/>
        <v>22167764.267932668</v>
      </c>
      <c r="O101" s="22">
        <f t="shared" si="38"/>
        <v>21221229.389184117</v>
      </c>
      <c r="P101" s="22">
        <f t="shared" si="38"/>
        <v>20254106.394589931</v>
      </c>
      <c r="Q101" s="22">
        <f t="shared" si="38"/>
        <v>19266433.853431642</v>
      </c>
      <c r="R101" s="22">
        <f t="shared" si="38"/>
        <v>18258261.165027209</v>
      </c>
      <c r="S101" s="22">
        <f t="shared" si="38"/>
        <v>17229649.02491311</v>
      </c>
      <c r="T101" s="22">
        <f t="shared" si="38"/>
        <v>16180669.907041062</v>
      </c>
      <c r="U101" s="22">
        <f t="shared" si="38"/>
        <v>15111408.562497929</v>
      </c>
      <c r="V101" s="6"/>
    </row>
    <row r="102" spans="2:22" x14ac:dyDescent="0.2">
      <c r="B102" s="206"/>
      <c r="C102" s="5"/>
      <c r="D102" s="5"/>
      <c r="E102" s="5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6"/>
    </row>
    <row r="103" spans="2:22" x14ac:dyDescent="0.2">
      <c r="B103" s="206" t="s">
        <v>246</v>
      </c>
      <c r="C103" s="5"/>
      <c r="D103" s="5"/>
      <c r="E103" s="5"/>
      <c r="F103" s="22">
        <f>IF(F$46="","",MAX(F$94,0))</f>
        <v>0</v>
      </c>
      <c r="G103" s="22">
        <f t="shared" ref="G102:U103" si="39">IF(G$46="","",MAX(G$94,0))</f>
        <v>0</v>
      </c>
      <c r="H103" s="22">
        <f t="shared" si="39"/>
        <v>0</v>
      </c>
      <c r="I103" s="22">
        <f t="shared" si="39"/>
        <v>0</v>
      </c>
      <c r="J103" s="22">
        <f t="shared" si="39"/>
        <v>0</v>
      </c>
      <c r="K103" s="22">
        <f t="shared" si="39"/>
        <v>0</v>
      </c>
      <c r="L103" s="22">
        <f t="shared" si="39"/>
        <v>0</v>
      </c>
      <c r="M103" s="22">
        <f t="shared" si="39"/>
        <v>0</v>
      </c>
      <c r="N103" s="22">
        <f t="shared" si="39"/>
        <v>0</v>
      </c>
      <c r="O103" s="22">
        <f t="shared" si="39"/>
        <v>0</v>
      </c>
      <c r="P103" s="22">
        <f t="shared" si="39"/>
        <v>0</v>
      </c>
      <c r="Q103" s="22">
        <f t="shared" si="39"/>
        <v>0</v>
      </c>
      <c r="R103" s="22">
        <f t="shared" si="39"/>
        <v>0</v>
      </c>
      <c r="S103" s="22">
        <f t="shared" si="39"/>
        <v>0</v>
      </c>
      <c r="T103" s="22">
        <f t="shared" si="39"/>
        <v>0</v>
      </c>
      <c r="U103" s="22">
        <f t="shared" si="39"/>
        <v>7042897.041796416</v>
      </c>
      <c r="V103" s="6"/>
    </row>
    <row r="104" spans="2:22" x14ac:dyDescent="0.2">
      <c r="B104" s="206" t="s">
        <v>223</v>
      </c>
      <c r="C104" s="5"/>
      <c r="D104" s="5"/>
      <c r="E104" s="5"/>
      <c r="F104" s="22">
        <f>IF(F$46="","",MIN(F$101,F$103*$I$16))</f>
        <v>0</v>
      </c>
      <c r="G104" s="22">
        <f t="shared" ref="G104:U104" si="40">IF(G$46="","",MIN(G$101,G$103*$I$16))</f>
        <v>0</v>
      </c>
      <c r="H104" s="22">
        <f t="shared" si="40"/>
        <v>0</v>
      </c>
      <c r="I104" s="22">
        <f t="shared" si="40"/>
        <v>0</v>
      </c>
      <c r="J104" s="22">
        <f t="shared" si="40"/>
        <v>0</v>
      </c>
      <c r="K104" s="22">
        <f t="shared" si="40"/>
        <v>0</v>
      </c>
      <c r="L104" s="22">
        <f t="shared" si="40"/>
        <v>0</v>
      </c>
      <c r="M104" s="22">
        <f t="shared" si="40"/>
        <v>0</v>
      </c>
      <c r="N104" s="22">
        <f t="shared" si="40"/>
        <v>0</v>
      </c>
      <c r="O104" s="22">
        <f t="shared" si="40"/>
        <v>0</v>
      </c>
      <c r="P104" s="22">
        <f t="shared" si="40"/>
        <v>0</v>
      </c>
      <c r="Q104" s="22">
        <f t="shared" si="40"/>
        <v>0</v>
      </c>
      <c r="R104" s="22">
        <f t="shared" si="40"/>
        <v>0</v>
      </c>
      <c r="S104" s="22">
        <f t="shared" si="40"/>
        <v>0</v>
      </c>
      <c r="T104" s="22">
        <f t="shared" si="40"/>
        <v>0</v>
      </c>
      <c r="U104" s="22">
        <f t="shared" si="40"/>
        <v>5577974.4571027616</v>
      </c>
      <c r="V104" s="6"/>
    </row>
    <row r="105" spans="2:22" x14ac:dyDescent="0.2">
      <c r="B105" s="206" t="s">
        <v>224</v>
      </c>
      <c r="C105" s="5"/>
      <c r="D105" s="5"/>
      <c r="E105" s="136"/>
      <c r="F105" s="22">
        <f>IF(F$46="","",IF(GP_Only_No_LPs,F$103,F$104/$I$16*$H$16))</f>
        <v>0</v>
      </c>
      <c r="G105" s="22">
        <f>IF(G$46="","",IF(GP_Only_No_LPs,G$103,G$104/$I$16*$H$16))</f>
        <v>0</v>
      </c>
      <c r="H105" s="22">
        <f>IF(H$46="","",IF(GP_Only_No_LPs,H$103,H$104/$I$16*$H$16))</f>
        <v>0</v>
      </c>
      <c r="I105" s="22">
        <f>IF(I$46="","",IF(GP_Only_No_LPs,I$103,I$104/$I$16*$H$16))</f>
        <v>0</v>
      </c>
      <c r="J105" s="22">
        <f>IF(J$46="","",IF(GP_Only_No_LPs,J$103,J$104/$I$16*$H$16))</f>
        <v>0</v>
      </c>
      <c r="K105" s="22">
        <f>IF(K$46="","",IF(GP_Only_No_LPs,K$103,K$104/$I$16*$H$16))</f>
        <v>0</v>
      </c>
      <c r="L105" s="22">
        <f>IF(L$46="","",IF(GP_Only_No_LPs,L$103,L$104/$I$16*$H$16))</f>
        <v>0</v>
      </c>
      <c r="M105" s="22">
        <f>IF(M$46="","",IF(GP_Only_No_LPs,M$103,M$104/$I$16*$H$16))</f>
        <v>0</v>
      </c>
      <c r="N105" s="22">
        <f>IF(N$46="","",IF(GP_Only_No_LPs,N$103,N$104/$I$16*$H$16))</f>
        <v>0</v>
      </c>
      <c r="O105" s="22">
        <f>IF(O$46="","",IF(GP_Only_No_LPs,O$103,O$104/$I$16*$H$16))</f>
        <v>0</v>
      </c>
      <c r="P105" s="22">
        <f>IF(P$46="","",IF(GP_Only_No_LPs,P$103,P$104/$I$16*$H$16))</f>
        <v>0</v>
      </c>
      <c r="Q105" s="22">
        <f>IF(Q$46="","",IF(GP_Only_No_LPs,Q$103,Q$104/$I$16*$H$16))</f>
        <v>0</v>
      </c>
      <c r="R105" s="22">
        <f>IF(R$46="","",IF(GP_Only_No_LPs,R$103,R$104/$I$16*$H$16))</f>
        <v>0</v>
      </c>
      <c r="S105" s="22">
        <f>IF(S$46="","",IF(GP_Only_No_LPs,S$103,S$104/$I$16*$H$16))</f>
        <v>0</v>
      </c>
      <c r="T105" s="22">
        <f>IF(T$46="","",IF(GP_Only_No_LPs,T$103,T$104/$I$16*$H$16))</f>
        <v>0</v>
      </c>
      <c r="U105" s="22">
        <f>IF(U$46="","",IF(GP_Only_No_LPs,U$103,U$104/$I$16*$H$16))</f>
        <v>1464922.5846936542</v>
      </c>
      <c r="V105" s="6"/>
    </row>
    <row r="106" spans="2:22" x14ac:dyDescent="0.2">
      <c r="B106" s="206" t="s">
        <v>247</v>
      </c>
      <c r="C106" s="5"/>
      <c r="D106" s="5"/>
      <c r="E106" s="5"/>
      <c r="F106" s="22">
        <f>IF(F$46="","",F$104+F$105)</f>
        <v>0</v>
      </c>
      <c r="G106" s="22">
        <f t="shared" ref="G106:U106" si="41">IF(G$46="","",G$104+G$105)</f>
        <v>0</v>
      </c>
      <c r="H106" s="22">
        <f t="shared" si="41"/>
        <v>0</v>
      </c>
      <c r="I106" s="22">
        <f t="shared" si="41"/>
        <v>0</v>
      </c>
      <c r="J106" s="22">
        <f t="shared" si="41"/>
        <v>0</v>
      </c>
      <c r="K106" s="22">
        <f t="shared" si="41"/>
        <v>0</v>
      </c>
      <c r="L106" s="22">
        <f t="shared" si="41"/>
        <v>0</v>
      </c>
      <c r="M106" s="22">
        <f t="shared" si="41"/>
        <v>0</v>
      </c>
      <c r="N106" s="22">
        <f t="shared" si="41"/>
        <v>0</v>
      </c>
      <c r="O106" s="22">
        <f t="shared" si="41"/>
        <v>0</v>
      </c>
      <c r="P106" s="22">
        <f t="shared" si="41"/>
        <v>0</v>
      </c>
      <c r="Q106" s="22">
        <f t="shared" si="41"/>
        <v>0</v>
      </c>
      <c r="R106" s="22">
        <f t="shared" si="41"/>
        <v>0</v>
      </c>
      <c r="S106" s="22">
        <f t="shared" si="41"/>
        <v>0</v>
      </c>
      <c r="T106" s="22">
        <f t="shared" si="41"/>
        <v>0</v>
      </c>
      <c r="U106" s="22">
        <f t="shared" si="41"/>
        <v>7042897.041796416</v>
      </c>
      <c r="V106" s="6"/>
    </row>
    <row r="107" spans="2:22" x14ac:dyDescent="0.2">
      <c r="B107" s="206" t="s">
        <v>184</v>
      </c>
      <c r="C107" s="5"/>
      <c r="D107" s="5"/>
      <c r="E107" s="5"/>
      <c r="F107" s="22">
        <f>IF(F$46="","",MAX(F$103-F$106,0))</f>
        <v>0</v>
      </c>
      <c r="G107" s="22">
        <f t="shared" ref="G107:U107" si="42">IF(G$46="","",MAX(G$103-G$106,0))</f>
        <v>0</v>
      </c>
      <c r="H107" s="22">
        <f t="shared" si="42"/>
        <v>0</v>
      </c>
      <c r="I107" s="22">
        <f t="shared" si="42"/>
        <v>0</v>
      </c>
      <c r="J107" s="22">
        <f t="shared" si="42"/>
        <v>0</v>
      </c>
      <c r="K107" s="22">
        <f t="shared" si="42"/>
        <v>0</v>
      </c>
      <c r="L107" s="22">
        <f t="shared" si="42"/>
        <v>0</v>
      </c>
      <c r="M107" s="22">
        <f t="shared" si="42"/>
        <v>0</v>
      </c>
      <c r="N107" s="22">
        <f t="shared" si="42"/>
        <v>0</v>
      </c>
      <c r="O107" s="22">
        <f t="shared" si="42"/>
        <v>0</v>
      </c>
      <c r="P107" s="22">
        <f t="shared" si="42"/>
        <v>0</v>
      </c>
      <c r="Q107" s="22">
        <f t="shared" si="42"/>
        <v>0</v>
      </c>
      <c r="R107" s="22">
        <f t="shared" si="42"/>
        <v>0</v>
      </c>
      <c r="S107" s="22">
        <f t="shared" si="42"/>
        <v>0</v>
      </c>
      <c r="T107" s="22">
        <f t="shared" si="42"/>
        <v>0</v>
      </c>
      <c r="U107" s="22">
        <f t="shared" si="42"/>
        <v>0</v>
      </c>
      <c r="V107" s="6"/>
    </row>
    <row r="108" spans="2:22" x14ac:dyDescent="0.2"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6"/>
    </row>
    <row r="109" spans="2:22" x14ac:dyDescent="0.2">
      <c r="B109" s="94" t="s">
        <v>50</v>
      </c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6"/>
    </row>
    <row r="110" spans="2:22" x14ac:dyDescent="0.2">
      <c r="B110" s="196" t="s">
        <v>185</v>
      </c>
      <c r="C110" s="197" t="str">
        <f>IF($D$4="IRR",TEXT($E$16,"0.00%"),TEXT($E$16,"0.00x"))</f>
        <v>15.00%</v>
      </c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93"/>
    </row>
    <row r="111" spans="2:22" x14ac:dyDescent="0.2">
      <c r="B111" s="206" t="s">
        <v>246</v>
      </c>
      <c r="C111" s="5"/>
      <c r="D111" s="5"/>
      <c r="E111" s="5"/>
      <c r="F111" s="22">
        <f>IF(F$46="","",MAX(F$107,0))</f>
        <v>0</v>
      </c>
      <c r="G111" s="22">
        <f t="shared" ref="G111:U111" si="43">IF(G$46="","",MAX(G$107,0))</f>
        <v>0</v>
      </c>
      <c r="H111" s="22">
        <f t="shared" si="43"/>
        <v>0</v>
      </c>
      <c r="I111" s="22">
        <f t="shared" si="43"/>
        <v>0</v>
      </c>
      <c r="J111" s="22">
        <f t="shared" si="43"/>
        <v>0</v>
      </c>
      <c r="K111" s="22">
        <f t="shared" si="43"/>
        <v>0</v>
      </c>
      <c r="L111" s="22">
        <f t="shared" si="43"/>
        <v>0</v>
      </c>
      <c r="M111" s="22">
        <f t="shared" si="43"/>
        <v>0</v>
      </c>
      <c r="N111" s="22">
        <f t="shared" si="43"/>
        <v>0</v>
      </c>
      <c r="O111" s="22">
        <f t="shared" si="43"/>
        <v>0</v>
      </c>
      <c r="P111" s="22">
        <f t="shared" si="43"/>
        <v>0</v>
      </c>
      <c r="Q111" s="22">
        <f t="shared" si="43"/>
        <v>0</v>
      </c>
      <c r="R111" s="22">
        <f t="shared" si="43"/>
        <v>0</v>
      </c>
      <c r="S111" s="22">
        <f t="shared" si="43"/>
        <v>0</v>
      </c>
      <c r="T111" s="22">
        <f t="shared" si="43"/>
        <v>0</v>
      </c>
      <c r="U111" s="22">
        <f t="shared" si="43"/>
        <v>0</v>
      </c>
      <c r="V111" s="6"/>
    </row>
    <row r="112" spans="2:22" x14ac:dyDescent="0.2">
      <c r="B112" s="206" t="s">
        <v>223</v>
      </c>
      <c r="C112" s="5"/>
      <c r="D112" s="5"/>
      <c r="E112" s="5"/>
      <c r="F112" s="22">
        <f>IF(F$46="","",F$111*$I$17)</f>
        <v>0</v>
      </c>
      <c r="G112" s="22">
        <f t="shared" ref="G112:U112" si="44">IF(G$46="","",G$111*$I$17)</f>
        <v>0</v>
      </c>
      <c r="H112" s="22">
        <f t="shared" si="44"/>
        <v>0</v>
      </c>
      <c r="I112" s="22">
        <f t="shared" si="44"/>
        <v>0</v>
      </c>
      <c r="J112" s="22">
        <f t="shared" si="44"/>
        <v>0</v>
      </c>
      <c r="K112" s="22">
        <f t="shared" si="44"/>
        <v>0</v>
      </c>
      <c r="L112" s="22">
        <f t="shared" si="44"/>
        <v>0</v>
      </c>
      <c r="M112" s="22">
        <f t="shared" si="44"/>
        <v>0</v>
      </c>
      <c r="N112" s="22">
        <f t="shared" si="44"/>
        <v>0</v>
      </c>
      <c r="O112" s="22">
        <f t="shared" si="44"/>
        <v>0</v>
      </c>
      <c r="P112" s="22">
        <f t="shared" si="44"/>
        <v>0</v>
      </c>
      <c r="Q112" s="22">
        <f t="shared" si="44"/>
        <v>0</v>
      </c>
      <c r="R112" s="22">
        <f t="shared" si="44"/>
        <v>0</v>
      </c>
      <c r="S112" s="22">
        <f t="shared" si="44"/>
        <v>0</v>
      </c>
      <c r="T112" s="22">
        <f t="shared" si="44"/>
        <v>0</v>
      </c>
      <c r="U112" s="22">
        <f t="shared" si="44"/>
        <v>0</v>
      </c>
      <c r="V112" s="6"/>
    </row>
    <row r="113" spans="2:22" x14ac:dyDescent="0.2">
      <c r="B113" s="206" t="s">
        <v>224</v>
      </c>
      <c r="C113" s="5"/>
      <c r="D113" s="5"/>
      <c r="E113" s="5"/>
      <c r="F113" s="22">
        <f>IF(F$46="","",F$111*$H$17)</f>
        <v>0</v>
      </c>
      <c r="G113" s="22">
        <f t="shared" ref="G113:U113" si="45">IF(G$46="","",G$111*$H$17)</f>
        <v>0</v>
      </c>
      <c r="H113" s="22">
        <f t="shared" si="45"/>
        <v>0</v>
      </c>
      <c r="I113" s="22">
        <f t="shared" si="45"/>
        <v>0</v>
      </c>
      <c r="J113" s="22">
        <f t="shared" si="45"/>
        <v>0</v>
      </c>
      <c r="K113" s="22">
        <f t="shared" si="45"/>
        <v>0</v>
      </c>
      <c r="L113" s="22">
        <f t="shared" si="45"/>
        <v>0</v>
      </c>
      <c r="M113" s="22">
        <f t="shared" si="45"/>
        <v>0</v>
      </c>
      <c r="N113" s="22">
        <f t="shared" si="45"/>
        <v>0</v>
      </c>
      <c r="O113" s="22">
        <f t="shared" si="45"/>
        <v>0</v>
      </c>
      <c r="P113" s="22">
        <f t="shared" si="45"/>
        <v>0</v>
      </c>
      <c r="Q113" s="22">
        <f t="shared" si="45"/>
        <v>0</v>
      </c>
      <c r="R113" s="22">
        <f t="shared" si="45"/>
        <v>0</v>
      </c>
      <c r="S113" s="22">
        <f t="shared" si="45"/>
        <v>0</v>
      </c>
      <c r="T113" s="22">
        <f t="shared" si="45"/>
        <v>0</v>
      </c>
      <c r="U113" s="22">
        <f t="shared" si="45"/>
        <v>0</v>
      </c>
      <c r="V113" s="6"/>
    </row>
    <row r="114" spans="2:22" x14ac:dyDescent="0.2">
      <c r="B114" s="206" t="s">
        <v>247</v>
      </c>
      <c r="C114" s="5"/>
      <c r="D114" s="5"/>
      <c r="E114" s="5"/>
      <c r="F114" s="22">
        <f>IF(F$46="","",F$112+F$113)</f>
        <v>0</v>
      </c>
      <c r="G114" s="22">
        <f t="shared" ref="G114:U114" si="46">IF(G$46="","",G$112+G$113)</f>
        <v>0</v>
      </c>
      <c r="H114" s="22">
        <f t="shared" si="46"/>
        <v>0</v>
      </c>
      <c r="I114" s="22">
        <f t="shared" si="46"/>
        <v>0</v>
      </c>
      <c r="J114" s="22">
        <f t="shared" si="46"/>
        <v>0</v>
      </c>
      <c r="K114" s="22">
        <f t="shared" si="46"/>
        <v>0</v>
      </c>
      <c r="L114" s="22">
        <f t="shared" si="46"/>
        <v>0</v>
      </c>
      <c r="M114" s="22">
        <f t="shared" si="46"/>
        <v>0</v>
      </c>
      <c r="N114" s="22">
        <f t="shared" si="46"/>
        <v>0</v>
      </c>
      <c r="O114" s="22">
        <f t="shared" si="46"/>
        <v>0</v>
      </c>
      <c r="P114" s="22">
        <f t="shared" si="46"/>
        <v>0</v>
      </c>
      <c r="Q114" s="22">
        <f t="shared" si="46"/>
        <v>0</v>
      </c>
      <c r="R114" s="22">
        <f t="shared" si="46"/>
        <v>0</v>
      </c>
      <c r="S114" s="22">
        <f t="shared" si="46"/>
        <v>0</v>
      </c>
      <c r="T114" s="22">
        <f t="shared" si="46"/>
        <v>0</v>
      </c>
      <c r="U114" s="22">
        <f t="shared" si="46"/>
        <v>0</v>
      </c>
      <c r="V114" s="6"/>
    </row>
    <row r="115" spans="2:22" x14ac:dyDescent="0.2">
      <c r="B115" s="206" t="s">
        <v>184</v>
      </c>
      <c r="C115" s="5"/>
      <c r="D115" s="5"/>
      <c r="E115" s="5"/>
      <c r="F115" s="22">
        <f>IF(F$46="","",MAX(F$111-F$114,0))</f>
        <v>0</v>
      </c>
      <c r="G115" s="22">
        <f t="shared" ref="G115:U115" si="47">IF(G$46="","",MAX(G$111-G$114,0))</f>
        <v>0</v>
      </c>
      <c r="H115" s="22">
        <f t="shared" si="47"/>
        <v>0</v>
      </c>
      <c r="I115" s="22">
        <f t="shared" si="47"/>
        <v>0</v>
      </c>
      <c r="J115" s="22">
        <f t="shared" si="47"/>
        <v>0</v>
      </c>
      <c r="K115" s="22">
        <f t="shared" si="47"/>
        <v>0</v>
      </c>
      <c r="L115" s="22">
        <f t="shared" si="47"/>
        <v>0</v>
      </c>
      <c r="M115" s="22">
        <f t="shared" si="47"/>
        <v>0</v>
      </c>
      <c r="N115" s="22">
        <f t="shared" si="47"/>
        <v>0</v>
      </c>
      <c r="O115" s="22">
        <f t="shared" si="47"/>
        <v>0</v>
      </c>
      <c r="P115" s="22">
        <f t="shared" si="47"/>
        <v>0</v>
      </c>
      <c r="Q115" s="22">
        <f t="shared" si="47"/>
        <v>0</v>
      </c>
      <c r="R115" s="22">
        <f t="shared" si="47"/>
        <v>0</v>
      </c>
      <c r="S115" s="22">
        <f t="shared" si="47"/>
        <v>0</v>
      </c>
      <c r="T115" s="22">
        <f t="shared" si="47"/>
        <v>0</v>
      </c>
      <c r="U115" s="22">
        <f t="shared" si="47"/>
        <v>0</v>
      </c>
      <c r="V115" s="6"/>
    </row>
    <row r="116" spans="2:22" x14ac:dyDescent="0.2">
      <c r="B116" s="7"/>
      <c r="C116" s="8"/>
      <c r="D116" s="8"/>
      <c r="E116" s="8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62"/>
    </row>
  </sheetData>
  <mergeCells count="2">
    <mergeCell ref="F12:G13"/>
    <mergeCell ref="H12:I12"/>
  </mergeCells>
  <conditionalFormatting sqref="C14:C17">
    <cfRule type="expression" dxfId="7" priority="10" stopIfTrue="1">
      <formula>($D$4&lt;&gt;"EM")</formula>
    </cfRule>
  </conditionalFormatting>
  <conditionalFormatting sqref="D14:D17">
    <cfRule type="expression" dxfId="6" priority="8">
      <formula>$D$4&lt;&gt;"IRR"</formula>
    </cfRule>
  </conditionalFormatting>
  <conditionalFormatting sqref="J14:J17">
    <cfRule type="cellIs" dxfId="5" priority="6" operator="notEqual">
      <formula>1</formula>
    </cfRule>
    <cfRule type="cellIs" dxfId="4" priority="7" operator="equal">
      <formula>1</formula>
    </cfRule>
  </conditionalFormatting>
  <conditionalFormatting sqref="K7">
    <cfRule type="containsText" dxfId="3" priority="4" operator="containsText" text="Error">
      <formula>NOT(ISERROR(SEARCH("Error",K7)))</formula>
    </cfRule>
    <cfRule type="containsText" dxfId="2" priority="5" operator="containsText" text="OK">
      <formula>NOT(ISERROR(SEARCH("OK",K7)))</formula>
    </cfRule>
  </conditionalFormatting>
  <conditionalFormatting sqref="C21:C23 C33:C36">
    <cfRule type="containsText" dxfId="1" priority="3" operator="containsText" text="ERROR">
      <formula>NOT(ISERROR(SEARCH("ERROR",C21)))</formula>
    </cfRule>
    <cfRule type="containsText" dxfId="0" priority="2" operator="containsText" text="OK">
      <formula>NOT(ISERROR(SEARCH("OK",C21)))</formula>
    </cfRule>
  </conditionalFormatting>
  <dataValidations count="1">
    <dataValidation type="list" allowBlank="1" showInputMessage="1" showErrorMessage="1" sqref="D4" xr:uid="{ACAC8E72-EC25-AE40-889A-1144F8CE12AB}">
      <formula1>"IRR,EM"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BB48-1155-EF4A-975C-6787652C7EC6}">
  <sheetPr>
    <tabColor theme="9" tint="0.59999389629810485"/>
  </sheetPr>
  <dimension ref="B2:S8"/>
  <sheetViews>
    <sheetView workbookViewId="0"/>
  </sheetViews>
  <sheetFormatPr baseColWidth="10" defaultRowHeight="16" x14ac:dyDescent="0.2"/>
  <cols>
    <col min="2" max="2" width="18.6640625" bestFit="1" customWidth="1"/>
    <col min="3" max="3" width="12" bestFit="1" customWidth="1"/>
    <col min="4" max="13" width="15" bestFit="1" customWidth="1"/>
    <col min="14" max="18" width="11.5" bestFit="1" customWidth="1"/>
  </cols>
  <sheetData>
    <row r="2" spans="2:19" x14ac:dyDescent="0.2">
      <c r="B2" s="43" t="s">
        <v>160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2"/>
    </row>
    <row r="3" spans="2:19" x14ac:dyDescent="0.2">
      <c r="B3" s="4"/>
      <c r="C3" s="5" t="s">
        <v>87</v>
      </c>
      <c r="D3" s="127">
        <v>1</v>
      </c>
      <c r="E3" s="127">
        <f t="shared" ref="E3:R3" si="0">IF(OR(D$3="",D$3=Effective_Hold_Period),"",D3+1)</f>
        <v>2</v>
      </c>
      <c r="F3" s="127">
        <f t="shared" si="0"/>
        <v>3</v>
      </c>
      <c r="G3" s="127">
        <f t="shared" si="0"/>
        <v>4</v>
      </c>
      <c r="H3" s="127">
        <f t="shared" si="0"/>
        <v>5</v>
      </c>
      <c r="I3" s="127">
        <f t="shared" si="0"/>
        <v>6</v>
      </c>
      <c r="J3" s="127">
        <f t="shared" si="0"/>
        <v>7</v>
      </c>
      <c r="K3" s="127">
        <f t="shared" si="0"/>
        <v>8</v>
      </c>
      <c r="L3" s="127">
        <f t="shared" si="0"/>
        <v>9</v>
      </c>
      <c r="M3" s="127">
        <f t="shared" si="0"/>
        <v>10</v>
      </c>
      <c r="N3" s="127">
        <f t="shared" si="0"/>
        <v>11</v>
      </c>
      <c r="O3" s="127">
        <f t="shared" si="0"/>
        <v>12</v>
      </c>
      <c r="P3" s="127">
        <f t="shared" si="0"/>
        <v>13</v>
      </c>
      <c r="Q3" s="127">
        <f t="shared" si="0"/>
        <v>14</v>
      </c>
      <c r="R3" s="127">
        <f t="shared" si="0"/>
        <v>15</v>
      </c>
      <c r="S3" s="6"/>
    </row>
    <row r="4" spans="2:19" x14ac:dyDescent="0.2">
      <c r="B4" s="4"/>
      <c r="C4" s="5" t="s">
        <v>88</v>
      </c>
      <c r="D4" s="100">
        <f>EOMONTH(Analysis_Start,11)</f>
        <v>44196</v>
      </c>
      <c r="E4" s="100">
        <f t="shared" ref="E4:R4" si="1">IF(E3="","",EOMONTH(Analysis_Start,(11*E3)+D3))</f>
        <v>44561</v>
      </c>
      <c r="F4" s="100">
        <f t="shared" si="1"/>
        <v>44926</v>
      </c>
      <c r="G4" s="100">
        <f t="shared" si="1"/>
        <v>45291</v>
      </c>
      <c r="H4" s="100">
        <f t="shared" si="1"/>
        <v>45657</v>
      </c>
      <c r="I4" s="100">
        <f t="shared" si="1"/>
        <v>46022</v>
      </c>
      <c r="J4" s="100">
        <f t="shared" si="1"/>
        <v>46387</v>
      </c>
      <c r="K4" s="100">
        <f t="shared" si="1"/>
        <v>46752</v>
      </c>
      <c r="L4" s="100">
        <f t="shared" si="1"/>
        <v>47118</v>
      </c>
      <c r="M4" s="100">
        <f t="shared" si="1"/>
        <v>47483</v>
      </c>
      <c r="N4" s="100">
        <f t="shared" si="1"/>
        <v>47848</v>
      </c>
      <c r="O4" s="100">
        <f t="shared" si="1"/>
        <v>48213</v>
      </c>
      <c r="P4" s="100">
        <f t="shared" si="1"/>
        <v>48579</v>
      </c>
      <c r="Q4" s="100">
        <f t="shared" si="1"/>
        <v>48944</v>
      </c>
      <c r="R4" s="100">
        <f t="shared" si="1"/>
        <v>49309</v>
      </c>
      <c r="S4" s="6"/>
    </row>
    <row r="5" spans="2:19" x14ac:dyDescent="0.2">
      <c r="B5" s="99" t="s">
        <v>161</v>
      </c>
      <c r="C5" s="109" t="str">
        <f>'Property Summary'!$C$3</f>
        <v>XYZ Condos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</row>
    <row r="6" spans="2:19" x14ac:dyDescent="0.2">
      <c r="B6" s="4"/>
      <c r="C6" s="5" t="s">
        <v>148</v>
      </c>
      <c r="D6" s="22">
        <f>IF(D4="","",IF(VLOOKUP($C5,'Property Assumptions'!$C$5:$V$5,14,FALSE)&lt;D$3,VLOOKUP($C5,'Property Assumptions'!$C$5:$V$5,11,FALSE),VLOOKUP($C5,'Property Assumptions'!$C$5:$V$5,12,FALSE)))</f>
        <v>1331880.9691817092</v>
      </c>
      <c r="E6" s="22">
        <f>IF(E4="","",IF(VLOOKUP($C5,'Property Assumptions'!$C$5:$V$5,14,FALSE)&lt;E$3,VLOOKUP($C5,'Property Assumptions'!$C$5:$V$5,11,FALSE),VLOOKUP($C5,'Property Assumptions'!$C$5:$V$5,12,FALSE)))</f>
        <v>1331880.9691817092</v>
      </c>
      <c r="F6" s="22">
        <f>IF(F4="","",IF(VLOOKUP($C5,'Property Assumptions'!$C$5:$V$5,14,FALSE)&lt;F$3,VLOOKUP($C5,'Property Assumptions'!$C$5:$V$5,11,FALSE),VLOOKUP($C5,'Property Assumptions'!$C$5:$V$5,12,FALSE)))</f>
        <v>1331880.9691817092</v>
      </c>
      <c r="G6" s="22">
        <f>IF(G4="","",IF(VLOOKUP($C5,'Property Assumptions'!$C$5:$V$5,14,FALSE)&lt;G$3,VLOOKUP($C5,'Property Assumptions'!$C$5:$V$5,11,FALSE),VLOOKUP($C5,'Property Assumptions'!$C$5:$V$5,12,FALSE)))</f>
        <v>1331880.9691817092</v>
      </c>
      <c r="H6" s="22">
        <f>IF(H4="","",IF(VLOOKUP($C5,'Property Assumptions'!$C$5:$V$5,14,FALSE)&lt;H$3,VLOOKUP($C5,'Property Assumptions'!$C$5:$V$5,11,FALSE),VLOOKUP($C5,'Property Assumptions'!$C$5:$V$5,12,FALSE)))</f>
        <v>1331880.9691817092</v>
      </c>
      <c r="I6" s="22">
        <f>IF(I4="","",IF(VLOOKUP($C5,'Property Assumptions'!$C$5:$V$5,14,FALSE)&lt;I$3,VLOOKUP($C5,'Property Assumptions'!$C$5:$V$5,11,FALSE),VLOOKUP($C5,'Property Assumptions'!$C$5:$V$5,12,FALSE)))</f>
        <v>1331880.9691817092</v>
      </c>
      <c r="J6" s="22">
        <f>IF(J4="","",IF(VLOOKUP($C5,'Property Assumptions'!$C$5:$V$5,14,FALSE)&lt;J$3,VLOOKUP($C5,'Property Assumptions'!$C$5:$V$5,11,FALSE),VLOOKUP($C5,'Property Assumptions'!$C$5:$V$5,12,FALSE)))</f>
        <v>1331880.9691817092</v>
      </c>
      <c r="K6" s="22">
        <f>IF(K4="","",IF(VLOOKUP($C5,'Property Assumptions'!$C$5:$V$5,14,FALSE)&lt;K$3,VLOOKUP($C5,'Property Assumptions'!$C$5:$V$5,11,FALSE),VLOOKUP($C5,'Property Assumptions'!$C$5:$V$5,12,FALSE)))</f>
        <v>1331880.9691817092</v>
      </c>
      <c r="L6" s="22">
        <f>IF(L4="","",IF(VLOOKUP($C5,'Property Assumptions'!$C$5:$V$5,14,FALSE)&lt;L$3,VLOOKUP($C5,'Property Assumptions'!$C$5:$V$5,11,FALSE),VLOOKUP($C5,'Property Assumptions'!$C$5:$V$5,12,FALSE)))</f>
        <v>1331880.9691817092</v>
      </c>
      <c r="M6" s="22">
        <f>IF(M4="","",IF(VLOOKUP($C5,'Property Assumptions'!$C$5:$V$5,14,FALSE)&lt;M$3,VLOOKUP($C5,'Property Assumptions'!$C$5:$V$5,11,FALSE),VLOOKUP($C5,'Property Assumptions'!$C$5:$V$5,12,FALSE)))</f>
        <v>1331880.9691817092</v>
      </c>
      <c r="N6" s="22">
        <f>IF(N4="","",IF(VLOOKUP($C5,'Property Assumptions'!$C$5:$V$5,14,FALSE)&lt;N$3,VLOOKUP($C5,'Property Assumptions'!$C$5:$V$5,11,FALSE),VLOOKUP($C5,'Property Assumptions'!$C$5:$V$5,12,FALSE)))</f>
        <v>1331880.9691817092</v>
      </c>
      <c r="O6" s="22">
        <f>IF(O4="","",IF(VLOOKUP($C5,'Property Assumptions'!$C$5:$V$5,14,FALSE)&lt;O$3,VLOOKUP($C5,'Property Assumptions'!$C$5:$V$5,11,FALSE),VLOOKUP($C5,'Property Assumptions'!$C$5:$V$5,12,FALSE)))</f>
        <v>1331880.9691817092</v>
      </c>
      <c r="P6" s="22">
        <f>IF(P4="","",IF(VLOOKUP($C5,'Property Assumptions'!$C$5:$V$5,14,FALSE)&lt;P$3,VLOOKUP($C5,'Property Assumptions'!$C$5:$V$5,11,FALSE),VLOOKUP($C5,'Property Assumptions'!$C$5:$V$5,12,FALSE)))</f>
        <v>1331880.9691817092</v>
      </c>
      <c r="Q6" s="22">
        <f>IF(Q4="","",IF(VLOOKUP($C5,'Property Assumptions'!$C$5:$V$5,14,FALSE)&lt;Q$3,VLOOKUP($C5,'Property Assumptions'!$C$5:$V$5,11,FALSE),VLOOKUP($C5,'Property Assumptions'!$C$5:$V$5,12,FALSE)))</f>
        <v>1331880.9691817092</v>
      </c>
      <c r="R6" s="22">
        <f>IF(R4="","",IF(VLOOKUP($C5,'Property Assumptions'!$C$5:$V$5,14,FALSE)&lt;R$3,VLOOKUP($C5,'Property Assumptions'!$C$5:$V$5,11,FALSE),VLOOKUP($C5,'Property Assumptions'!$C$5:$V$5,12,FALSE)))</f>
        <v>1331880.9691817092</v>
      </c>
      <c r="S6" s="6"/>
    </row>
    <row r="7" spans="2:19" x14ac:dyDescent="0.2">
      <c r="B7" s="4"/>
      <c r="C7" s="5" t="s">
        <v>150</v>
      </c>
      <c r="D7" s="22">
        <f>IF(D3="","",IF(D3&lt;='Property Summary'!$F$27,Debt,-PV('Property Summary'!$F$26/12,(('Property Summary'!$F$28-D$3)+'Property Summary'!$F$28)*12,PMT('Property Summary'!$F$26/12,'Property Summary'!$F$28*12,-Debt))))</f>
        <v>18112532.86141865</v>
      </c>
      <c r="E7" s="22">
        <f>IF(E3="","",IF(E3&lt;='Property Summary'!$F$27,Debt,-PV('Property Summary'!$F$26/12,(('Property Summary'!$F$28-E$3)+'Property Summary'!$F$28)*12,PMT('Property Summary'!$F$26/12,'Property Summary'!$F$28*12,-Debt))))</f>
        <v>18093175.696109083</v>
      </c>
      <c r="F7" s="22">
        <f>IF(F3="","",IF(F3&lt;='Property Summary'!$F$27,Debt,-PV('Property Summary'!$F$26/12,(('Property Summary'!$F$28-F$3)+'Property Summary'!$F$28)*12,PMT('Property Summary'!$F$26/12,'Property Summary'!$F$28*12,-Debt))))</f>
        <v>18072367.550645001</v>
      </c>
      <c r="G7" s="22">
        <f>IF(G3="","",IF(G3&lt;='Property Summary'!$F$27,Debt,-PV('Property Summary'!$F$26/12,(('Property Summary'!$F$28-G$3)+'Property Summary'!$F$28)*12,PMT('Property Summary'!$F$26/12,'Property Summary'!$F$28*12,-Debt))))</f>
        <v>18049999.662024438</v>
      </c>
      <c r="H7" s="22">
        <f>IF(H3="","",IF(H3&lt;='Property Summary'!$F$27,Debt,-PV('Property Summary'!$F$26/12,(('Property Summary'!$F$28-H$3)+'Property Summary'!$F$28)*12,PMT('Property Summary'!$F$26/12,'Property Summary'!$F$28*12,-Debt))))</f>
        <v>18025955.11455597</v>
      </c>
      <c r="I7" s="22">
        <f>IF(I3="","",IF(I3&lt;='Property Summary'!$F$27,Debt,-PV('Property Summary'!$F$26/12,(('Property Summary'!$F$28-I$3)+'Property Summary'!$F$28)*12,PMT('Property Summary'!$F$26/12,'Property Summary'!$F$28*12,-Debt))))</f>
        <v>18000108.228746995</v>
      </c>
      <c r="J7" s="22">
        <f>IF(J3="","",IF(J3&lt;='Property Summary'!$F$27,Debt,-PV('Property Summary'!$F$26/12,(('Property Summary'!$F$28-J$3)+'Property Summary'!$F$28)*12,PMT('Property Summary'!$F$26/12,'Property Summary'!$F$28*12,-Debt))))</f>
        <v>17972323.90438414</v>
      </c>
      <c r="K7" s="22">
        <f>IF(K3="","",IF(K3&lt;='Property Summary'!$F$27,Debt,-PV('Property Summary'!$F$26/12,(('Property Summary'!$F$28-K$3)+'Property Summary'!$F$28)*12,PMT('Property Summary'!$F$26/12,'Property Summary'!$F$28*12,-Debt))))</f>
        <v>17942456.914372042</v>
      </c>
      <c r="L7" s="22">
        <f>IF(L3="","",IF(L3&lt;='Property Summary'!$F$27,Debt,-PV('Property Summary'!$F$26/12,(('Property Summary'!$F$28-L$3)+'Property Summary'!$F$28)*12,PMT('Property Summary'!$F$26/12,'Property Summary'!$F$28*12,-Debt))))</f>
        <v>17910351.145639539</v>
      </c>
      <c r="M7" s="22">
        <f>IF(M3="","",IF(M3&lt;='Property Summary'!$F$27,Debt,-PV('Property Summary'!$F$26/12,(('Property Summary'!$F$28-M$3)+'Property Summary'!$F$28)*12,PMT('Property Summary'!$F$26/12,'Property Summary'!$F$28*12,-Debt))))</f>
        <v>17875838.783145439</v>
      </c>
      <c r="N7" s="22">
        <f>IF(N3="","",IF(N3&lt;='Property Summary'!$F$27,Debt,-PV('Property Summary'!$F$26/12,(('Property Summary'!$F$28-N$3)+'Property Summary'!$F$28)*12,PMT('Property Summary'!$F$26/12,'Property Summary'!$F$28*12,-Debt))))</f>
        <v>17838739.432718795</v>
      </c>
      <c r="O7" s="22">
        <f>IF(O3="","",IF(O3&lt;='Property Summary'!$F$27,Debt,-PV('Property Summary'!$F$26/12,(('Property Summary'!$F$28-O$3)+'Property Summary'!$F$28)*12,PMT('Property Summary'!$F$26/12,'Property Summary'!$F$28*12,-Debt))))</f>
        <v>17798859.178148735</v>
      </c>
      <c r="P7" s="22">
        <f>IF(P3="","",IF(P3&lt;='Property Summary'!$F$27,Debt,-PV('Property Summary'!$F$26/12,(('Property Summary'!$F$28-P$3)+'Property Summary'!$F$28)*12,PMT('Property Summary'!$F$26/12,'Property Summary'!$F$28*12,-Debt))))</f>
        <v>17755989.567595378</v>
      </c>
      <c r="Q7" s="22">
        <f>IF(Q3="","",IF(Q3&lt;='Property Summary'!$F$27,Debt,-PV('Property Summary'!$F$26/12,(('Property Summary'!$F$28-Q$3)+'Property Summary'!$F$28)*12,PMT('Property Summary'!$F$26/12,'Property Summary'!$F$28*12,-Debt))))</f>
        <v>17709906.52402382</v>
      </c>
      <c r="R7" s="22">
        <f>IF(R3="","",IF(R3&lt;='Property Summary'!$F$27,Debt,-PV('Property Summary'!$F$26/12,(('Property Summary'!$F$28-R$3)+'Property Summary'!$F$28)*12,PMT('Property Summary'!$F$26/12,'Property Summary'!$F$28*12,-Debt))))</f>
        <v>17660369.173966147</v>
      </c>
      <c r="S7" s="6"/>
    </row>
    <row r="8" spans="2:19" x14ac:dyDescent="0.2"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0E3B0-F13E-284B-AEFA-E2FE7B2BFE83}">
  <sheetPr>
    <tabColor theme="1" tint="0.499984740745262"/>
  </sheetPr>
  <dimension ref="B2:FZ84"/>
  <sheetViews>
    <sheetView workbookViewId="0"/>
  </sheetViews>
  <sheetFormatPr baseColWidth="10" defaultRowHeight="16" x14ac:dyDescent="0.2"/>
  <cols>
    <col min="2" max="2" width="15.33203125" customWidth="1"/>
    <col min="10" max="10" width="11.1640625" bestFit="1" customWidth="1"/>
  </cols>
  <sheetData>
    <row r="2" spans="2:182" x14ac:dyDescent="0.2">
      <c r="B2" s="43" t="s">
        <v>211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2"/>
    </row>
    <row r="3" spans="2:182" x14ac:dyDescent="0.2">
      <c r="B3" s="41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208" t="s">
        <v>80</v>
      </c>
      <c r="Q3" s="209"/>
      <c r="R3" s="210"/>
    </row>
    <row r="4" spans="2:182" ht="68" x14ac:dyDescent="0.2">
      <c r="B4" s="69" t="s">
        <v>65</v>
      </c>
      <c r="C4" s="70" t="s">
        <v>86</v>
      </c>
      <c r="D4" s="70" t="s">
        <v>66</v>
      </c>
      <c r="E4" s="70" t="s">
        <v>67</v>
      </c>
      <c r="F4" s="70" t="str">
        <f>"Rentable Area ("&amp;'Property Summary'!$I$26&amp;")"</f>
        <v>Rentable Area (SQFT)</v>
      </c>
      <c r="G4" s="70" t="s">
        <v>68</v>
      </c>
      <c r="H4" s="70" t="s">
        <v>69</v>
      </c>
      <c r="I4" s="70" t="s">
        <v>70</v>
      </c>
      <c r="J4" s="70" t="s">
        <v>71</v>
      </c>
      <c r="K4" s="70" t="s">
        <v>72</v>
      </c>
      <c r="L4" s="70" t="s">
        <v>136</v>
      </c>
      <c r="M4" s="70" t="s">
        <v>74</v>
      </c>
      <c r="N4" s="70" t="s">
        <v>75</v>
      </c>
      <c r="O4" s="71" t="s">
        <v>76</v>
      </c>
      <c r="P4" s="69" t="s">
        <v>77</v>
      </c>
      <c r="Q4" s="70" t="s">
        <v>78</v>
      </c>
      <c r="R4" s="71" t="s">
        <v>79</v>
      </c>
    </row>
    <row r="5" spans="2:182" x14ac:dyDescent="0.2">
      <c r="B5" s="4" t="str">
        <f>'Rent Roll'!B5</f>
        <v>Studio</v>
      </c>
      <c r="C5" s="146">
        <f>'Rent Roll'!C5</f>
        <v>22</v>
      </c>
      <c r="D5" s="147">
        <f>'Rent Roll'!D5</f>
        <v>0</v>
      </c>
      <c r="E5" s="147">
        <f>'Rent Roll'!E5</f>
        <v>1</v>
      </c>
      <c r="F5" s="148">
        <f>'Rent Roll'!F5</f>
        <v>470</v>
      </c>
      <c r="G5" s="149">
        <f>'Rent Roll'!G5</f>
        <v>2200</v>
      </c>
      <c r="H5" s="149">
        <f>'Rent Roll'!H5</f>
        <v>2350</v>
      </c>
      <c r="I5" s="150">
        <f>'Rent Roll'!I5</f>
        <v>13</v>
      </c>
      <c r="J5" s="151">
        <f>'Rent Roll'!J5</f>
        <v>12</v>
      </c>
      <c r="K5" s="152">
        <f>'Rent Roll'!K5</f>
        <v>70</v>
      </c>
      <c r="L5" s="151">
        <f>'Rent Roll'!L5</f>
        <v>0</v>
      </c>
      <c r="M5" s="66">
        <f>'Rent Roll'!M5</f>
        <v>25</v>
      </c>
      <c r="N5" s="152">
        <f>'Rent Roll'!N5</f>
        <v>400</v>
      </c>
      <c r="O5" s="153">
        <f>'Rent Roll'!O5</f>
        <v>0.6</v>
      </c>
      <c r="P5" s="10">
        <f>IF($B5&lt;&gt;"", (1-$O5)*$L5, "")</f>
        <v>0</v>
      </c>
      <c r="Q5" s="66">
        <f>IF($B5&lt;&gt;"", (1-$O5)*$M5, "")</f>
        <v>10</v>
      </c>
      <c r="R5" s="67">
        <f>IF($B5&lt;&gt;"", (1-$O5)*$N5, "")</f>
        <v>160</v>
      </c>
    </row>
    <row r="6" spans="2:182" x14ac:dyDescent="0.2">
      <c r="B6" s="4" t="str">
        <f>'Rent Roll'!B6</f>
        <v>1bd/1ba</v>
      </c>
      <c r="C6" s="146">
        <f>'Rent Roll'!C6</f>
        <v>24</v>
      </c>
      <c r="D6" s="147">
        <f>'Rent Roll'!D6</f>
        <v>1</v>
      </c>
      <c r="E6" s="147">
        <f>'Rent Roll'!E6</f>
        <v>1</v>
      </c>
      <c r="F6" s="148">
        <f>'Rent Roll'!F6</f>
        <v>630</v>
      </c>
      <c r="G6" s="149">
        <f>'Rent Roll'!G6</f>
        <v>2340</v>
      </c>
      <c r="H6" s="149">
        <f>'Rent Roll'!H6</f>
        <v>2500</v>
      </c>
      <c r="I6" s="150">
        <f>'Rent Roll'!I6</f>
        <v>16</v>
      </c>
      <c r="J6" s="151">
        <f>'Rent Roll'!J6</f>
        <v>12</v>
      </c>
      <c r="K6" s="152">
        <f>'Rent Roll'!K6</f>
        <v>75</v>
      </c>
      <c r="L6" s="151">
        <f>'Rent Roll'!L6</f>
        <v>0</v>
      </c>
      <c r="M6" s="66">
        <f>'Rent Roll'!M6</f>
        <v>25</v>
      </c>
      <c r="N6" s="152">
        <f>'Rent Roll'!N6</f>
        <v>400</v>
      </c>
      <c r="O6" s="153">
        <f>'Rent Roll'!O6</f>
        <v>0.6</v>
      </c>
      <c r="P6" s="10">
        <f t="shared" ref="P6:P9" si="0">IF($B6&lt;&gt;"", (1-$O6)*$L6, "")</f>
        <v>0</v>
      </c>
      <c r="Q6" s="66">
        <f t="shared" ref="Q6:Q9" si="1">IF($B6&lt;&gt;"", (1-$O6)*$M6, "")</f>
        <v>10</v>
      </c>
      <c r="R6" s="67">
        <f t="shared" ref="R6:R9" si="2">IF($B6&lt;&gt;"", (1-$O6)*$N6, "")</f>
        <v>160</v>
      </c>
    </row>
    <row r="7" spans="2:182" x14ac:dyDescent="0.2">
      <c r="B7" s="4" t="str">
        <f>'Rent Roll'!B7</f>
        <v>2bd/2ba</v>
      </c>
      <c r="C7" s="146">
        <f>'Rent Roll'!C7</f>
        <v>20</v>
      </c>
      <c r="D7" s="147">
        <f>'Rent Roll'!D7</f>
        <v>2</v>
      </c>
      <c r="E7" s="147">
        <f>'Rent Roll'!E7</f>
        <v>2</v>
      </c>
      <c r="F7" s="148">
        <f>'Rent Roll'!F7</f>
        <v>955</v>
      </c>
      <c r="G7" s="149">
        <f>'Rent Roll'!G7</f>
        <v>4800</v>
      </c>
      <c r="H7" s="149">
        <f>'Rent Roll'!H7</f>
        <v>4950</v>
      </c>
      <c r="I7" s="150">
        <f>'Rent Roll'!I7</f>
        <v>19</v>
      </c>
      <c r="J7" s="151">
        <f>'Rent Roll'!J7</f>
        <v>12</v>
      </c>
      <c r="K7" s="152">
        <f>'Rent Roll'!K7</f>
        <v>120</v>
      </c>
      <c r="L7" s="151">
        <f>'Rent Roll'!L7</f>
        <v>0</v>
      </c>
      <c r="M7" s="66">
        <f>'Rent Roll'!M7</f>
        <v>28</v>
      </c>
      <c r="N7" s="152">
        <f>'Rent Roll'!N7</f>
        <v>550</v>
      </c>
      <c r="O7" s="153">
        <f>'Rent Roll'!O7</f>
        <v>0.6</v>
      </c>
      <c r="P7" s="10">
        <f t="shared" si="0"/>
        <v>0</v>
      </c>
      <c r="Q7" s="66">
        <f t="shared" si="1"/>
        <v>11.200000000000001</v>
      </c>
      <c r="R7" s="67">
        <f t="shared" si="2"/>
        <v>220</v>
      </c>
    </row>
    <row r="8" spans="2:182" x14ac:dyDescent="0.2">
      <c r="B8" s="4" t="str">
        <f>'Rent Roll'!B8</f>
        <v>3bd/3ba</v>
      </c>
      <c r="C8" s="146">
        <f>'Rent Roll'!C8</f>
        <v>8</v>
      </c>
      <c r="D8" s="147">
        <f>'Rent Roll'!D8</f>
        <v>3</v>
      </c>
      <c r="E8" s="147">
        <f>'Rent Roll'!E8</f>
        <v>3</v>
      </c>
      <c r="F8" s="148">
        <f>'Rent Roll'!F8</f>
        <v>1120</v>
      </c>
      <c r="G8" s="149">
        <f>'Rent Roll'!G8</f>
        <v>5400</v>
      </c>
      <c r="H8" s="149">
        <f>'Rent Roll'!H8</f>
        <v>5500</v>
      </c>
      <c r="I8" s="150">
        <f>'Rent Roll'!I8</f>
        <v>14</v>
      </c>
      <c r="J8" s="151">
        <f>'Rent Roll'!J8</f>
        <v>12</v>
      </c>
      <c r="K8" s="152">
        <f>'Rent Roll'!K8</f>
        <v>160</v>
      </c>
      <c r="L8" s="151">
        <f>'Rent Roll'!L8</f>
        <v>0</v>
      </c>
      <c r="M8" s="66">
        <f>'Rent Roll'!M8</f>
        <v>32</v>
      </c>
      <c r="N8" s="152">
        <f>'Rent Roll'!N8</f>
        <v>600</v>
      </c>
      <c r="O8" s="153">
        <f>'Rent Roll'!O8</f>
        <v>0.6</v>
      </c>
      <c r="P8" s="10">
        <f t="shared" si="0"/>
        <v>0</v>
      </c>
      <c r="Q8" s="66">
        <f t="shared" si="1"/>
        <v>12.8</v>
      </c>
      <c r="R8" s="67">
        <f t="shared" si="2"/>
        <v>240</v>
      </c>
    </row>
    <row r="9" spans="2:182" x14ac:dyDescent="0.2">
      <c r="B9" s="4" t="str">
        <f>'Rent Roll'!B9</f>
        <v>4bd/4ba</v>
      </c>
      <c r="C9" s="146">
        <f>'Rent Roll'!C9</f>
        <v>6</v>
      </c>
      <c r="D9" s="147">
        <f>'Rent Roll'!D9</f>
        <v>4</v>
      </c>
      <c r="E9" s="147">
        <f>'Rent Roll'!E9</f>
        <v>4</v>
      </c>
      <c r="F9" s="148">
        <f>'Rent Roll'!F9</f>
        <v>1500</v>
      </c>
      <c r="G9" s="149">
        <f>'Rent Roll'!G9</f>
        <v>5900</v>
      </c>
      <c r="H9" s="149">
        <f>'Rent Roll'!H9</f>
        <v>6150</v>
      </c>
      <c r="I9" s="150">
        <f>'Rent Roll'!I9</f>
        <v>20</v>
      </c>
      <c r="J9" s="151">
        <f>'Rent Roll'!J9</f>
        <v>12</v>
      </c>
      <c r="K9" s="152">
        <f>'Rent Roll'!K9</f>
        <v>180</v>
      </c>
      <c r="L9" s="151">
        <f>'Rent Roll'!L9</f>
        <v>0</v>
      </c>
      <c r="M9" s="66">
        <f>'Rent Roll'!M9</f>
        <v>38</v>
      </c>
      <c r="N9" s="152">
        <f>'Rent Roll'!N9</f>
        <v>800</v>
      </c>
      <c r="O9" s="153">
        <f>'Rent Roll'!O9</f>
        <v>0.6</v>
      </c>
      <c r="P9" s="10">
        <f t="shared" si="0"/>
        <v>0</v>
      </c>
      <c r="Q9" s="66">
        <f t="shared" si="1"/>
        <v>15.200000000000001</v>
      </c>
      <c r="R9" s="67">
        <f t="shared" si="2"/>
        <v>320</v>
      </c>
    </row>
    <row r="10" spans="2:182" x14ac:dyDescent="0.2"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/>
      <c r="Q10" s="8"/>
      <c r="R10" s="9"/>
    </row>
    <row r="12" spans="2:182" x14ac:dyDescent="0.2">
      <c r="B12" s="94" t="s">
        <v>129</v>
      </c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6"/>
    </row>
    <row r="13" spans="2:182" x14ac:dyDescent="0.2">
      <c r="B13" s="97" t="s">
        <v>87</v>
      </c>
      <c r="C13" s="68">
        <f>ROUNDUP(C14/12,0)</f>
        <v>1</v>
      </c>
      <c r="D13" s="68">
        <f t="shared" ref="D13:N13" si="3">ROUNDUP(D14/12,0)</f>
        <v>1</v>
      </c>
      <c r="E13" s="68">
        <f t="shared" si="3"/>
        <v>1</v>
      </c>
      <c r="F13" s="68">
        <f t="shared" si="3"/>
        <v>1</v>
      </c>
      <c r="G13" s="68">
        <f t="shared" si="3"/>
        <v>1</v>
      </c>
      <c r="H13" s="68">
        <f t="shared" si="3"/>
        <v>1</v>
      </c>
      <c r="I13" s="68">
        <f t="shared" si="3"/>
        <v>1</v>
      </c>
      <c r="J13" s="68">
        <f t="shared" si="3"/>
        <v>1</v>
      </c>
      <c r="K13" s="68">
        <f t="shared" si="3"/>
        <v>1</v>
      </c>
      <c r="L13" s="68">
        <f t="shared" si="3"/>
        <v>1</v>
      </c>
      <c r="M13" s="68">
        <f t="shared" si="3"/>
        <v>1</v>
      </c>
      <c r="N13" s="68">
        <f t="shared" si="3"/>
        <v>1</v>
      </c>
      <c r="O13" s="68">
        <f t="shared" ref="O13" si="4">ROUNDUP(O14/12,0)</f>
        <v>2</v>
      </c>
      <c r="P13" s="68">
        <f t="shared" ref="P13" si="5">ROUNDUP(P14/12,0)</f>
        <v>2</v>
      </c>
      <c r="Q13" s="68">
        <f t="shared" ref="Q13" si="6">ROUNDUP(Q14/12,0)</f>
        <v>2</v>
      </c>
      <c r="R13" s="68">
        <f t="shared" ref="R13" si="7">ROUNDUP(R14/12,0)</f>
        <v>2</v>
      </c>
      <c r="S13" s="68">
        <f t="shared" ref="S13" si="8">ROUNDUP(S14/12,0)</f>
        <v>2</v>
      </c>
      <c r="T13" s="68">
        <f t="shared" ref="T13" si="9">ROUNDUP(T14/12,0)</f>
        <v>2</v>
      </c>
      <c r="U13" s="68">
        <f t="shared" ref="U13" si="10">ROUNDUP(U14/12,0)</f>
        <v>2</v>
      </c>
      <c r="V13" s="68">
        <f t="shared" ref="V13" si="11">ROUNDUP(V14/12,0)</f>
        <v>2</v>
      </c>
      <c r="W13" s="68">
        <f t="shared" ref="W13" si="12">ROUNDUP(W14/12,0)</f>
        <v>2</v>
      </c>
      <c r="X13" s="68">
        <f t="shared" ref="X13" si="13">ROUNDUP(X14/12,0)</f>
        <v>2</v>
      </c>
      <c r="Y13" s="68">
        <f t="shared" ref="Y13" si="14">ROUNDUP(Y14/12,0)</f>
        <v>2</v>
      </c>
      <c r="Z13" s="68">
        <f t="shared" ref="Z13" si="15">ROUNDUP(Z14/12,0)</f>
        <v>2</v>
      </c>
      <c r="AA13" s="68">
        <f t="shared" ref="AA13" si="16">ROUNDUP(AA14/12,0)</f>
        <v>3</v>
      </c>
      <c r="AB13" s="68">
        <f t="shared" ref="AB13" si="17">ROUNDUP(AB14/12,0)</f>
        <v>3</v>
      </c>
      <c r="AC13" s="68">
        <f t="shared" ref="AC13" si="18">ROUNDUP(AC14/12,0)</f>
        <v>3</v>
      </c>
      <c r="AD13" s="68">
        <f t="shared" ref="AD13" si="19">ROUNDUP(AD14/12,0)</f>
        <v>3</v>
      </c>
      <c r="AE13" s="68">
        <f t="shared" ref="AE13" si="20">ROUNDUP(AE14/12,0)</f>
        <v>3</v>
      </c>
      <c r="AF13" s="68">
        <f t="shared" ref="AF13" si="21">ROUNDUP(AF14/12,0)</f>
        <v>3</v>
      </c>
      <c r="AG13" s="68">
        <f t="shared" ref="AG13" si="22">ROUNDUP(AG14/12,0)</f>
        <v>3</v>
      </c>
      <c r="AH13" s="68">
        <f t="shared" ref="AH13" si="23">ROUNDUP(AH14/12,0)</f>
        <v>3</v>
      </c>
      <c r="AI13" s="68">
        <f t="shared" ref="AI13" si="24">ROUNDUP(AI14/12,0)</f>
        <v>3</v>
      </c>
      <c r="AJ13" s="68">
        <f t="shared" ref="AJ13" si="25">ROUNDUP(AJ14/12,0)</f>
        <v>3</v>
      </c>
      <c r="AK13" s="68">
        <f t="shared" ref="AK13" si="26">ROUNDUP(AK14/12,0)</f>
        <v>3</v>
      </c>
      <c r="AL13" s="68">
        <f t="shared" ref="AL13" si="27">ROUNDUP(AL14/12,0)</f>
        <v>3</v>
      </c>
      <c r="AM13" s="68">
        <f t="shared" ref="AM13" si="28">ROUNDUP(AM14/12,0)</f>
        <v>4</v>
      </c>
      <c r="AN13" s="68">
        <f t="shared" ref="AN13" si="29">ROUNDUP(AN14/12,0)</f>
        <v>4</v>
      </c>
      <c r="AO13" s="68">
        <f t="shared" ref="AO13" si="30">ROUNDUP(AO14/12,0)</f>
        <v>4</v>
      </c>
      <c r="AP13" s="68">
        <f t="shared" ref="AP13" si="31">ROUNDUP(AP14/12,0)</f>
        <v>4</v>
      </c>
      <c r="AQ13" s="68">
        <f t="shared" ref="AQ13" si="32">ROUNDUP(AQ14/12,0)</f>
        <v>4</v>
      </c>
      <c r="AR13" s="68">
        <f t="shared" ref="AR13" si="33">ROUNDUP(AR14/12,0)</f>
        <v>4</v>
      </c>
      <c r="AS13" s="68">
        <f t="shared" ref="AS13" si="34">ROUNDUP(AS14/12,0)</f>
        <v>4</v>
      </c>
      <c r="AT13" s="68">
        <f t="shared" ref="AT13" si="35">ROUNDUP(AT14/12,0)</f>
        <v>4</v>
      </c>
      <c r="AU13" s="68">
        <f t="shared" ref="AU13" si="36">ROUNDUP(AU14/12,0)</f>
        <v>4</v>
      </c>
      <c r="AV13" s="68">
        <f t="shared" ref="AV13" si="37">ROUNDUP(AV14/12,0)</f>
        <v>4</v>
      </c>
      <c r="AW13" s="68">
        <f t="shared" ref="AW13" si="38">ROUNDUP(AW14/12,0)</f>
        <v>4</v>
      </c>
      <c r="AX13" s="68">
        <f t="shared" ref="AX13" si="39">ROUNDUP(AX14/12,0)</f>
        <v>4</v>
      </c>
      <c r="AY13" s="68">
        <f t="shared" ref="AY13" si="40">ROUNDUP(AY14/12,0)</f>
        <v>5</v>
      </c>
      <c r="AZ13" s="68">
        <f t="shared" ref="AZ13" si="41">ROUNDUP(AZ14/12,0)</f>
        <v>5</v>
      </c>
      <c r="BA13" s="68">
        <f t="shared" ref="BA13" si="42">ROUNDUP(BA14/12,0)</f>
        <v>5</v>
      </c>
      <c r="BB13" s="68">
        <f t="shared" ref="BB13" si="43">ROUNDUP(BB14/12,0)</f>
        <v>5</v>
      </c>
      <c r="BC13" s="68">
        <f t="shared" ref="BC13" si="44">ROUNDUP(BC14/12,0)</f>
        <v>5</v>
      </c>
      <c r="BD13" s="68">
        <f t="shared" ref="BD13" si="45">ROUNDUP(BD14/12,0)</f>
        <v>5</v>
      </c>
      <c r="BE13" s="68">
        <f t="shared" ref="BE13" si="46">ROUNDUP(BE14/12,0)</f>
        <v>5</v>
      </c>
      <c r="BF13" s="68">
        <f t="shared" ref="BF13" si="47">ROUNDUP(BF14/12,0)</f>
        <v>5</v>
      </c>
      <c r="BG13" s="68">
        <f t="shared" ref="BG13" si="48">ROUNDUP(BG14/12,0)</f>
        <v>5</v>
      </c>
      <c r="BH13" s="68">
        <f t="shared" ref="BH13" si="49">ROUNDUP(BH14/12,0)</f>
        <v>5</v>
      </c>
      <c r="BI13" s="68">
        <f t="shared" ref="BI13" si="50">ROUNDUP(BI14/12,0)</f>
        <v>5</v>
      </c>
      <c r="BJ13" s="68">
        <f t="shared" ref="BJ13" si="51">ROUNDUP(BJ14/12,0)</f>
        <v>5</v>
      </c>
      <c r="BK13" s="68">
        <f t="shared" ref="BK13" si="52">ROUNDUP(BK14/12,0)</f>
        <v>6</v>
      </c>
      <c r="BL13" s="68">
        <f t="shared" ref="BL13" si="53">ROUNDUP(BL14/12,0)</f>
        <v>6</v>
      </c>
      <c r="BM13" s="68">
        <f t="shared" ref="BM13" si="54">ROUNDUP(BM14/12,0)</f>
        <v>6</v>
      </c>
      <c r="BN13" s="68">
        <f t="shared" ref="BN13" si="55">ROUNDUP(BN14/12,0)</f>
        <v>6</v>
      </c>
      <c r="BO13" s="68">
        <f t="shared" ref="BO13" si="56">ROUNDUP(BO14/12,0)</f>
        <v>6</v>
      </c>
      <c r="BP13" s="68">
        <f t="shared" ref="BP13" si="57">ROUNDUP(BP14/12,0)</f>
        <v>6</v>
      </c>
      <c r="BQ13" s="68">
        <f t="shared" ref="BQ13" si="58">ROUNDUP(BQ14/12,0)</f>
        <v>6</v>
      </c>
      <c r="BR13" s="68">
        <f t="shared" ref="BR13" si="59">ROUNDUP(BR14/12,0)</f>
        <v>6</v>
      </c>
      <c r="BS13" s="68">
        <f t="shared" ref="BS13" si="60">ROUNDUP(BS14/12,0)</f>
        <v>6</v>
      </c>
      <c r="BT13" s="68">
        <f t="shared" ref="BT13" si="61">ROUNDUP(BT14/12,0)</f>
        <v>6</v>
      </c>
      <c r="BU13" s="68">
        <f t="shared" ref="BU13" si="62">ROUNDUP(BU14/12,0)</f>
        <v>6</v>
      </c>
      <c r="BV13" s="68">
        <f t="shared" ref="BV13" si="63">ROUNDUP(BV14/12,0)</f>
        <v>6</v>
      </c>
      <c r="BW13" s="68">
        <f t="shared" ref="BW13" si="64">ROUNDUP(BW14/12,0)</f>
        <v>7</v>
      </c>
      <c r="BX13" s="68">
        <f t="shared" ref="BX13" si="65">ROUNDUP(BX14/12,0)</f>
        <v>7</v>
      </c>
      <c r="BY13" s="68">
        <f t="shared" ref="BY13" si="66">ROUNDUP(BY14/12,0)</f>
        <v>7</v>
      </c>
      <c r="BZ13" s="68">
        <f t="shared" ref="BZ13" si="67">ROUNDUP(BZ14/12,0)</f>
        <v>7</v>
      </c>
      <c r="CA13" s="68">
        <f t="shared" ref="CA13" si="68">ROUNDUP(CA14/12,0)</f>
        <v>7</v>
      </c>
      <c r="CB13" s="68">
        <f t="shared" ref="CB13" si="69">ROUNDUP(CB14/12,0)</f>
        <v>7</v>
      </c>
      <c r="CC13" s="68">
        <f t="shared" ref="CC13" si="70">ROUNDUP(CC14/12,0)</f>
        <v>7</v>
      </c>
      <c r="CD13" s="68">
        <f t="shared" ref="CD13" si="71">ROUNDUP(CD14/12,0)</f>
        <v>7</v>
      </c>
      <c r="CE13" s="68">
        <f t="shared" ref="CE13" si="72">ROUNDUP(CE14/12,0)</f>
        <v>7</v>
      </c>
      <c r="CF13" s="68">
        <f t="shared" ref="CF13" si="73">ROUNDUP(CF14/12,0)</f>
        <v>7</v>
      </c>
      <c r="CG13" s="68">
        <f t="shared" ref="CG13" si="74">ROUNDUP(CG14/12,0)</f>
        <v>7</v>
      </c>
      <c r="CH13" s="68">
        <f t="shared" ref="CH13" si="75">ROUNDUP(CH14/12,0)</f>
        <v>7</v>
      </c>
      <c r="CI13" s="68">
        <f t="shared" ref="CI13" si="76">ROUNDUP(CI14/12,0)</f>
        <v>8</v>
      </c>
      <c r="CJ13" s="68">
        <f t="shared" ref="CJ13" si="77">ROUNDUP(CJ14/12,0)</f>
        <v>8</v>
      </c>
      <c r="CK13" s="68">
        <f t="shared" ref="CK13" si="78">ROUNDUP(CK14/12,0)</f>
        <v>8</v>
      </c>
      <c r="CL13" s="68">
        <f t="shared" ref="CL13" si="79">ROUNDUP(CL14/12,0)</f>
        <v>8</v>
      </c>
      <c r="CM13" s="68">
        <f t="shared" ref="CM13" si="80">ROUNDUP(CM14/12,0)</f>
        <v>8</v>
      </c>
      <c r="CN13" s="68">
        <f t="shared" ref="CN13" si="81">ROUNDUP(CN14/12,0)</f>
        <v>8</v>
      </c>
      <c r="CO13" s="68">
        <f t="shared" ref="CO13" si="82">ROUNDUP(CO14/12,0)</f>
        <v>8</v>
      </c>
      <c r="CP13" s="68">
        <f t="shared" ref="CP13" si="83">ROUNDUP(CP14/12,0)</f>
        <v>8</v>
      </c>
      <c r="CQ13" s="68">
        <f t="shared" ref="CQ13" si="84">ROUNDUP(CQ14/12,0)</f>
        <v>8</v>
      </c>
      <c r="CR13" s="68">
        <f t="shared" ref="CR13" si="85">ROUNDUP(CR14/12,0)</f>
        <v>8</v>
      </c>
      <c r="CS13" s="68">
        <f t="shared" ref="CS13" si="86">ROUNDUP(CS14/12,0)</f>
        <v>8</v>
      </c>
      <c r="CT13" s="68">
        <f t="shared" ref="CT13" si="87">ROUNDUP(CT14/12,0)</f>
        <v>8</v>
      </c>
      <c r="CU13" s="68">
        <f t="shared" ref="CU13" si="88">ROUNDUP(CU14/12,0)</f>
        <v>9</v>
      </c>
      <c r="CV13" s="68">
        <f t="shared" ref="CV13" si="89">ROUNDUP(CV14/12,0)</f>
        <v>9</v>
      </c>
      <c r="CW13" s="68">
        <f t="shared" ref="CW13" si="90">ROUNDUP(CW14/12,0)</f>
        <v>9</v>
      </c>
      <c r="CX13" s="68">
        <f t="shared" ref="CX13" si="91">ROUNDUP(CX14/12,0)</f>
        <v>9</v>
      </c>
      <c r="CY13" s="68">
        <f t="shared" ref="CY13" si="92">ROUNDUP(CY14/12,0)</f>
        <v>9</v>
      </c>
      <c r="CZ13" s="68">
        <f t="shared" ref="CZ13" si="93">ROUNDUP(CZ14/12,0)</f>
        <v>9</v>
      </c>
      <c r="DA13" s="68">
        <f t="shared" ref="DA13" si="94">ROUNDUP(DA14/12,0)</f>
        <v>9</v>
      </c>
      <c r="DB13" s="68">
        <f t="shared" ref="DB13" si="95">ROUNDUP(DB14/12,0)</f>
        <v>9</v>
      </c>
      <c r="DC13" s="68">
        <f t="shared" ref="DC13" si="96">ROUNDUP(DC14/12,0)</f>
        <v>9</v>
      </c>
      <c r="DD13" s="68">
        <f t="shared" ref="DD13" si="97">ROUNDUP(DD14/12,0)</f>
        <v>9</v>
      </c>
      <c r="DE13" s="68">
        <f t="shared" ref="DE13" si="98">ROUNDUP(DE14/12,0)</f>
        <v>9</v>
      </c>
      <c r="DF13" s="68">
        <f t="shared" ref="DF13" si="99">ROUNDUP(DF14/12,0)</f>
        <v>9</v>
      </c>
      <c r="DG13" s="68">
        <f t="shared" ref="DG13" si="100">ROUNDUP(DG14/12,0)</f>
        <v>10</v>
      </c>
      <c r="DH13" s="68">
        <f t="shared" ref="DH13" si="101">ROUNDUP(DH14/12,0)</f>
        <v>10</v>
      </c>
      <c r="DI13" s="68">
        <f t="shared" ref="DI13" si="102">ROUNDUP(DI14/12,0)</f>
        <v>10</v>
      </c>
      <c r="DJ13" s="68">
        <f t="shared" ref="DJ13" si="103">ROUNDUP(DJ14/12,0)</f>
        <v>10</v>
      </c>
      <c r="DK13" s="68">
        <f t="shared" ref="DK13" si="104">ROUNDUP(DK14/12,0)</f>
        <v>10</v>
      </c>
      <c r="DL13" s="68">
        <f t="shared" ref="DL13" si="105">ROUNDUP(DL14/12,0)</f>
        <v>10</v>
      </c>
      <c r="DM13" s="68">
        <f t="shared" ref="DM13" si="106">ROUNDUP(DM14/12,0)</f>
        <v>10</v>
      </c>
      <c r="DN13" s="68">
        <f t="shared" ref="DN13" si="107">ROUNDUP(DN14/12,0)</f>
        <v>10</v>
      </c>
      <c r="DO13" s="68">
        <f t="shared" ref="DO13" si="108">ROUNDUP(DO14/12,0)</f>
        <v>10</v>
      </c>
      <c r="DP13" s="68">
        <f t="shared" ref="DP13" si="109">ROUNDUP(DP14/12,0)</f>
        <v>10</v>
      </c>
      <c r="DQ13" s="68">
        <f t="shared" ref="DQ13" si="110">ROUNDUP(DQ14/12,0)</f>
        <v>10</v>
      </c>
      <c r="DR13" s="68">
        <f t="shared" ref="DR13" si="111">ROUNDUP(DR14/12,0)</f>
        <v>10</v>
      </c>
      <c r="DS13" s="68">
        <f t="shared" ref="DS13" si="112">ROUNDUP(DS14/12,0)</f>
        <v>11</v>
      </c>
      <c r="DT13" s="68">
        <f t="shared" ref="DT13" si="113">ROUNDUP(DT14/12,0)</f>
        <v>11</v>
      </c>
      <c r="DU13" s="68">
        <f t="shared" ref="DU13" si="114">ROUNDUP(DU14/12,0)</f>
        <v>11</v>
      </c>
      <c r="DV13" s="68">
        <f t="shared" ref="DV13" si="115">ROUNDUP(DV14/12,0)</f>
        <v>11</v>
      </c>
      <c r="DW13" s="68">
        <f t="shared" ref="DW13" si="116">ROUNDUP(DW14/12,0)</f>
        <v>11</v>
      </c>
      <c r="DX13" s="68">
        <f t="shared" ref="DX13" si="117">ROUNDUP(DX14/12,0)</f>
        <v>11</v>
      </c>
      <c r="DY13" s="68">
        <f t="shared" ref="DY13" si="118">ROUNDUP(DY14/12,0)</f>
        <v>11</v>
      </c>
      <c r="DZ13" s="68">
        <f t="shared" ref="DZ13" si="119">ROUNDUP(DZ14/12,0)</f>
        <v>11</v>
      </c>
      <c r="EA13" s="68">
        <f t="shared" ref="EA13" si="120">ROUNDUP(EA14/12,0)</f>
        <v>11</v>
      </c>
      <c r="EB13" s="68">
        <f t="shared" ref="EB13" si="121">ROUNDUP(EB14/12,0)</f>
        <v>11</v>
      </c>
      <c r="EC13" s="68">
        <f t="shared" ref="EC13" si="122">ROUNDUP(EC14/12,0)</f>
        <v>11</v>
      </c>
      <c r="ED13" s="68">
        <f t="shared" ref="ED13" si="123">ROUNDUP(ED14/12,0)</f>
        <v>11</v>
      </c>
      <c r="EE13" s="68">
        <f t="shared" ref="EE13" si="124">ROUNDUP(EE14/12,0)</f>
        <v>12</v>
      </c>
      <c r="EF13" s="68">
        <f t="shared" ref="EF13" si="125">ROUNDUP(EF14/12,0)</f>
        <v>12</v>
      </c>
      <c r="EG13" s="68">
        <f t="shared" ref="EG13" si="126">ROUNDUP(EG14/12,0)</f>
        <v>12</v>
      </c>
      <c r="EH13" s="68">
        <f t="shared" ref="EH13" si="127">ROUNDUP(EH14/12,0)</f>
        <v>12</v>
      </c>
      <c r="EI13" s="68">
        <f t="shared" ref="EI13" si="128">ROUNDUP(EI14/12,0)</f>
        <v>12</v>
      </c>
      <c r="EJ13" s="68">
        <f t="shared" ref="EJ13" si="129">ROUNDUP(EJ14/12,0)</f>
        <v>12</v>
      </c>
      <c r="EK13" s="68">
        <f t="shared" ref="EK13" si="130">ROUNDUP(EK14/12,0)</f>
        <v>12</v>
      </c>
      <c r="EL13" s="68">
        <f t="shared" ref="EL13" si="131">ROUNDUP(EL14/12,0)</f>
        <v>12</v>
      </c>
      <c r="EM13" s="68">
        <f t="shared" ref="EM13" si="132">ROUNDUP(EM14/12,0)</f>
        <v>12</v>
      </c>
      <c r="EN13" s="68">
        <f t="shared" ref="EN13" si="133">ROUNDUP(EN14/12,0)</f>
        <v>12</v>
      </c>
      <c r="EO13" s="68">
        <f t="shared" ref="EO13" si="134">ROUNDUP(EO14/12,0)</f>
        <v>12</v>
      </c>
      <c r="EP13" s="68">
        <f t="shared" ref="EP13" si="135">ROUNDUP(EP14/12,0)</f>
        <v>12</v>
      </c>
      <c r="EQ13" s="68">
        <f t="shared" ref="EQ13" si="136">ROUNDUP(EQ14/12,0)</f>
        <v>13</v>
      </c>
      <c r="ER13" s="68">
        <f t="shared" ref="ER13" si="137">ROUNDUP(ER14/12,0)</f>
        <v>13</v>
      </c>
      <c r="ES13" s="68">
        <f t="shared" ref="ES13" si="138">ROUNDUP(ES14/12,0)</f>
        <v>13</v>
      </c>
      <c r="ET13" s="68">
        <f t="shared" ref="ET13" si="139">ROUNDUP(ET14/12,0)</f>
        <v>13</v>
      </c>
      <c r="EU13" s="68">
        <f t="shared" ref="EU13" si="140">ROUNDUP(EU14/12,0)</f>
        <v>13</v>
      </c>
      <c r="EV13" s="68">
        <f t="shared" ref="EV13" si="141">ROUNDUP(EV14/12,0)</f>
        <v>13</v>
      </c>
      <c r="EW13" s="68">
        <f t="shared" ref="EW13" si="142">ROUNDUP(EW14/12,0)</f>
        <v>13</v>
      </c>
      <c r="EX13" s="68">
        <f t="shared" ref="EX13" si="143">ROUNDUP(EX14/12,0)</f>
        <v>13</v>
      </c>
      <c r="EY13" s="68">
        <f t="shared" ref="EY13" si="144">ROUNDUP(EY14/12,0)</f>
        <v>13</v>
      </c>
      <c r="EZ13" s="68">
        <f t="shared" ref="EZ13" si="145">ROUNDUP(EZ14/12,0)</f>
        <v>13</v>
      </c>
      <c r="FA13" s="68">
        <f t="shared" ref="FA13" si="146">ROUNDUP(FA14/12,0)</f>
        <v>13</v>
      </c>
      <c r="FB13" s="68">
        <f t="shared" ref="FB13" si="147">ROUNDUP(FB14/12,0)</f>
        <v>13</v>
      </c>
      <c r="FC13" s="68">
        <f t="shared" ref="FC13" si="148">ROUNDUP(FC14/12,0)</f>
        <v>14</v>
      </c>
      <c r="FD13" s="68">
        <f t="shared" ref="FD13" si="149">ROUNDUP(FD14/12,0)</f>
        <v>14</v>
      </c>
      <c r="FE13" s="68">
        <f t="shared" ref="FE13" si="150">ROUNDUP(FE14/12,0)</f>
        <v>14</v>
      </c>
      <c r="FF13" s="68">
        <f t="shared" ref="FF13" si="151">ROUNDUP(FF14/12,0)</f>
        <v>14</v>
      </c>
      <c r="FG13" s="68">
        <f t="shared" ref="FG13" si="152">ROUNDUP(FG14/12,0)</f>
        <v>14</v>
      </c>
      <c r="FH13" s="68">
        <f t="shared" ref="FH13" si="153">ROUNDUP(FH14/12,0)</f>
        <v>14</v>
      </c>
      <c r="FI13" s="68">
        <f t="shared" ref="FI13" si="154">ROUNDUP(FI14/12,0)</f>
        <v>14</v>
      </c>
      <c r="FJ13" s="68">
        <f t="shared" ref="FJ13" si="155">ROUNDUP(FJ14/12,0)</f>
        <v>14</v>
      </c>
      <c r="FK13" s="68">
        <f t="shared" ref="FK13" si="156">ROUNDUP(FK14/12,0)</f>
        <v>14</v>
      </c>
      <c r="FL13" s="68">
        <f t="shared" ref="FL13" si="157">ROUNDUP(FL14/12,0)</f>
        <v>14</v>
      </c>
      <c r="FM13" s="68">
        <f t="shared" ref="FM13" si="158">ROUNDUP(FM14/12,0)</f>
        <v>14</v>
      </c>
      <c r="FN13" s="68">
        <f t="shared" ref="FN13" si="159">ROUNDUP(FN14/12,0)</f>
        <v>14</v>
      </c>
      <c r="FO13" s="68">
        <f t="shared" ref="FO13" si="160">ROUNDUP(FO14/12,0)</f>
        <v>15</v>
      </c>
      <c r="FP13" s="68">
        <f t="shared" ref="FP13" si="161">ROUNDUP(FP14/12,0)</f>
        <v>15</v>
      </c>
      <c r="FQ13" s="68">
        <f t="shared" ref="FQ13" si="162">ROUNDUP(FQ14/12,0)</f>
        <v>15</v>
      </c>
      <c r="FR13" s="68">
        <f t="shared" ref="FR13" si="163">ROUNDUP(FR14/12,0)</f>
        <v>15</v>
      </c>
      <c r="FS13" s="68">
        <f t="shared" ref="FS13" si="164">ROUNDUP(FS14/12,0)</f>
        <v>15</v>
      </c>
      <c r="FT13" s="68">
        <f t="shared" ref="FT13" si="165">ROUNDUP(FT14/12,0)</f>
        <v>15</v>
      </c>
      <c r="FU13" s="68">
        <f t="shared" ref="FU13" si="166">ROUNDUP(FU14/12,0)</f>
        <v>15</v>
      </c>
      <c r="FV13" s="68">
        <f t="shared" ref="FV13" si="167">ROUNDUP(FV14/12,0)</f>
        <v>15</v>
      </c>
      <c r="FW13" s="68">
        <f t="shared" ref="FW13" si="168">ROUNDUP(FW14/12,0)</f>
        <v>15</v>
      </c>
      <c r="FX13" s="68">
        <f t="shared" ref="FX13" si="169">ROUNDUP(FX14/12,0)</f>
        <v>15</v>
      </c>
      <c r="FY13" s="68">
        <f t="shared" ref="FY13" si="170">ROUNDUP(FY14/12,0)</f>
        <v>15</v>
      </c>
      <c r="FZ13" s="98">
        <f t="shared" ref="FZ13" si="171">ROUNDUP(FZ14/12,0)</f>
        <v>15</v>
      </c>
    </row>
    <row r="14" spans="2:182" x14ac:dyDescent="0.2">
      <c r="B14" s="99" t="s">
        <v>130</v>
      </c>
      <c r="C14" s="5">
        <v>1</v>
      </c>
      <c r="D14" s="5">
        <f>C14+1</f>
        <v>2</v>
      </c>
      <c r="E14" s="5">
        <f t="shared" ref="E14:BP14" si="172">D14+1</f>
        <v>3</v>
      </c>
      <c r="F14" s="5">
        <f t="shared" si="172"/>
        <v>4</v>
      </c>
      <c r="G14" s="5">
        <f t="shared" si="172"/>
        <v>5</v>
      </c>
      <c r="H14" s="5">
        <f t="shared" si="172"/>
        <v>6</v>
      </c>
      <c r="I14" s="5">
        <f t="shared" si="172"/>
        <v>7</v>
      </c>
      <c r="J14" s="5">
        <f t="shared" si="172"/>
        <v>8</v>
      </c>
      <c r="K14" s="5">
        <f t="shared" si="172"/>
        <v>9</v>
      </c>
      <c r="L14" s="5">
        <f t="shared" si="172"/>
        <v>10</v>
      </c>
      <c r="M14" s="5">
        <f t="shared" si="172"/>
        <v>11</v>
      </c>
      <c r="N14" s="5">
        <f t="shared" si="172"/>
        <v>12</v>
      </c>
      <c r="O14" s="5">
        <f t="shared" si="172"/>
        <v>13</v>
      </c>
      <c r="P14" s="5">
        <f t="shared" si="172"/>
        <v>14</v>
      </c>
      <c r="Q14" s="5">
        <f t="shared" si="172"/>
        <v>15</v>
      </c>
      <c r="R14" s="5">
        <f t="shared" si="172"/>
        <v>16</v>
      </c>
      <c r="S14" s="5">
        <f t="shared" si="172"/>
        <v>17</v>
      </c>
      <c r="T14" s="5">
        <f t="shared" si="172"/>
        <v>18</v>
      </c>
      <c r="U14" s="5">
        <f t="shared" si="172"/>
        <v>19</v>
      </c>
      <c r="V14" s="5">
        <f t="shared" si="172"/>
        <v>20</v>
      </c>
      <c r="W14" s="5">
        <f t="shared" si="172"/>
        <v>21</v>
      </c>
      <c r="X14" s="5">
        <f t="shared" si="172"/>
        <v>22</v>
      </c>
      <c r="Y14" s="5">
        <f t="shared" si="172"/>
        <v>23</v>
      </c>
      <c r="Z14" s="5">
        <f t="shared" si="172"/>
        <v>24</v>
      </c>
      <c r="AA14" s="5">
        <f t="shared" si="172"/>
        <v>25</v>
      </c>
      <c r="AB14" s="5">
        <f t="shared" si="172"/>
        <v>26</v>
      </c>
      <c r="AC14" s="5">
        <f t="shared" si="172"/>
        <v>27</v>
      </c>
      <c r="AD14" s="5">
        <f t="shared" si="172"/>
        <v>28</v>
      </c>
      <c r="AE14" s="5">
        <f t="shared" si="172"/>
        <v>29</v>
      </c>
      <c r="AF14" s="5">
        <f t="shared" si="172"/>
        <v>30</v>
      </c>
      <c r="AG14" s="5">
        <f t="shared" si="172"/>
        <v>31</v>
      </c>
      <c r="AH14" s="5">
        <f t="shared" si="172"/>
        <v>32</v>
      </c>
      <c r="AI14" s="5">
        <f t="shared" si="172"/>
        <v>33</v>
      </c>
      <c r="AJ14" s="5">
        <f t="shared" si="172"/>
        <v>34</v>
      </c>
      <c r="AK14" s="5">
        <f t="shared" si="172"/>
        <v>35</v>
      </c>
      <c r="AL14" s="5">
        <f t="shared" si="172"/>
        <v>36</v>
      </c>
      <c r="AM14" s="5">
        <f t="shared" si="172"/>
        <v>37</v>
      </c>
      <c r="AN14" s="5">
        <f t="shared" si="172"/>
        <v>38</v>
      </c>
      <c r="AO14" s="5">
        <f t="shared" si="172"/>
        <v>39</v>
      </c>
      <c r="AP14" s="5">
        <f t="shared" si="172"/>
        <v>40</v>
      </c>
      <c r="AQ14" s="5">
        <f t="shared" si="172"/>
        <v>41</v>
      </c>
      <c r="AR14" s="5">
        <f t="shared" si="172"/>
        <v>42</v>
      </c>
      <c r="AS14" s="5">
        <f t="shared" si="172"/>
        <v>43</v>
      </c>
      <c r="AT14" s="5">
        <f t="shared" si="172"/>
        <v>44</v>
      </c>
      <c r="AU14" s="5">
        <f t="shared" si="172"/>
        <v>45</v>
      </c>
      <c r="AV14" s="5">
        <f t="shared" si="172"/>
        <v>46</v>
      </c>
      <c r="AW14" s="5">
        <f t="shared" si="172"/>
        <v>47</v>
      </c>
      <c r="AX14" s="5">
        <f t="shared" si="172"/>
        <v>48</v>
      </c>
      <c r="AY14" s="5">
        <f t="shared" si="172"/>
        <v>49</v>
      </c>
      <c r="AZ14" s="5">
        <f t="shared" si="172"/>
        <v>50</v>
      </c>
      <c r="BA14" s="5">
        <f t="shared" si="172"/>
        <v>51</v>
      </c>
      <c r="BB14" s="5">
        <f t="shared" si="172"/>
        <v>52</v>
      </c>
      <c r="BC14" s="5">
        <f t="shared" si="172"/>
        <v>53</v>
      </c>
      <c r="BD14" s="5">
        <f t="shared" si="172"/>
        <v>54</v>
      </c>
      <c r="BE14" s="5">
        <f t="shared" si="172"/>
        <v>55</v>
      </c>
      <c r="BF14" s="5">
        <f t="shared" si="172"/>
        <v>56</v>
      </c>
      <c r="BG14" s="5">
        <f t="shared" si="172"/>
        <v>57</v>
      </c>
      <c r="BH14" s="5">
        <f t="shared" si="172"/>
        <v>58</v>
      </c>
      <c r="BI14" s="5">
        <f t="shared" si="172"/>
        <v>59</v>
      </c>
      <c r="BJ14" s="5">
        <f t="shared" si="172"/>
        <v>60</v>
      </c>
      <c r="BK14" s="5">
        <f t="shared" si="172"/>
        <v>61</v>
      </c>
      <c r="BL14" s="5">
        <f t="shared" si="172"/>
        <v>62</v>
      </c>
      <c r="BM14" s="5">
        <f t="shared" si="172"/>
        <v>63</v>
      </c>
      <c r="BN14" s="5">
        <f t="shared" si="172"/>
        <v>64</v>
      </c>
      <c r="BO14" s="5">
        <f t="shared" si="172"/>
        <v>65</v>
      </c>
      <c r="BP14" s="5">
        <f t="shared" si="172"/>
        <v>66</v>
      </c>
      <c r="BQ14" s="5">
        <f t="shared" ref="BQ14:EB14" si="173">BP14+1</f>
        <v>67</v>
      </c>
      <c r="BR14" s="5">
        <f t="shared" si="173"/>
        <v>68</v>
      </c>
      <c r="BS14" s="5">
        <f t="shared" si="173"/>
        <v>69</v>
      </c>
      <c r="BT14" s="5">
        <f t="shared" si="173"/>
        <v>70</v>
      </c>
      <c r="BU14" s="5">
        <f t="shared" si="173"/>
        <v>71</v>
      </c>
      <c r="BV14" s="5">
        <f t="shared" si="173"/>
        <v>72</v>
      </c>
      <c r="BW14" s="5">
        <f t="shared" si="173"/>
        <v>73</v>
      </c>
      <c r="BX14" s="5">
        <f t="shared" si="173"/>
        <v>74</v>
      </c>
      <c r="BY14" s="5">
        <f t="shared" si="173"/>
        <v>75</v>
      </c>
      <c r="BZ14" s="5">
        <f t="shared" si="173"/>
        <v>76</v>
      </c>
      <c r="CA14" s="5">
        <f t="shared" si="173"/>
        <v>77</v>
      </c>
      <c r="CB14" s="5">
        <f t="shared" si="173"/>
        <v>78</v>
      </c>
      <c r="CC14" s="5">
        <f t="shared" si="173"/>
        <v>79</v>
      </c>
      <c r="CD14" s="5">
        <f t="shared" si="173"/>
        <v>80</v>
      </c>
      <c r="CE14" s="5">
        <f t="shared" si="173"/>
        <v>81</v>
      </c>
      <c r="CF14" s="5">
        <f t="shared" si="173"/>
        <v>82</v>
      </c>
      <c r="CG14" s="5">
        <f t="shared" si="173"/>
        <v>83</v>
      </c>
      <c r="CH14" s="5">
        <f t="shared" si="173"/>
        <v>84</v>
      </c>
      <c r="CI14" s="5">
        <f t="shared" si="173"/>
        <v>85</v>
      </c>
      <c r="CJ14" s="5">
        <f t="shared" si="173"/>
        <v>86</v>
      </c>
      <c r="CK14" s="5">
        <f t="shared" si="173"/>
        <v>87</v>
      </c>
      <c r="CL14" s="5">
        <f t="shared" si="173"/>
        <v>88</v>
      </c>
      <c r="CM14" s="5">
        <f t="shared" si="173"/>
        <v>89</v>
      </c>
      <c r="CN14" s="5">
        <f t="shared" si="173"/>
        <v>90</v>
      </c>
      <c r="CO14" s="5">
        <f t="shared" si="173"/>
        <v>91</v>
      </c>
      <c r="CP14" s="5">
        <f t="shared" si="173"/>
        <v>92</v>
      </c>
      <c r="CQ14" s="5">
        <f t="shared" si="173"/>
        <v>93</v>
      </c>
      <c r="CR14" s="5">
        <f t="shared" si="173"/>
        <v>94</v>
      </c>
      <c r="CS14" s="5">
        <f t="shared" si="173"/>
        <v>95</v>
      </c>
      <c r="CT14" s="5">
        <f t="shared" si="173"/>
        <v>96</v>
      </c>
      <c r="CU14" s="5">
        <f t="shared" si="173"/>
        <v>97</v>
      </c>
      <c r="CV14" s="5">
        <f t="shared" si="173"/>
        <v>98</v>
      </c>
      <c r="CW14" s="5">
        <f t="shared" si="173"/>
        <v>99</v>
      </c>
      <c r="CX14" s="5">
        <f t="shared" si="173"/>
        <v>100</v>
      </c>
      <c r="CY14" s="5">
        <f t="shared" si="173"/>
        <v>101</v>
      </c>
      <c r="CZ14" s="5">
        <f t="shared" si="173"/>
        <v>102</v>
      </c>
      <c r="DA14" s="5">
        <f t="shared" si="173"/>
        <v>103</v>
      </c>
      <c r="DB14" s="5">
        <f t="shared" si="173"/>
        <v>104</v>
      </c>
      <c r="DC14" s="5">
        <f t="shared" si="173"/>
        <v>105</v>
      </c>
      <c r="DD14" s="5">
        <f t="shared" si="173"/>
        <v>106</v>
      </c>
      <c r="DE14" s="5">
        <f t="shared" si="173"/>
        <v>107</v>
      </c>
      <c r="DF14" s="5">
        <f t="shared" si="173"/>
        <v>108</v>
      </c>
      <c r="DG14" s="5">
        <f t="shared" si="173"/>
        <v>109</v>
      </c>
      <c r="DH14" s="5">
        <f t="shared" si="173"/>
        <v>110</v>
      </c>
      <c r="DI14" s="5">
        <f t="shared" si="173"/>
        <v>111</v>
      </c>
      <c r="DJ14" s="5">
        <f t="shared" si="173"/>
        <v>112</v>
      </c>
      <c r="DK14" s="5">
        <f t="shared" si="173"/>
        <v>113</v>
      </c>
      <c r="DL14" s="5">
        <f t="shared" si="173"/>
        <v>114</v>
      </c>
      <c r="DM14" s="5">
        <f t="shared" si="173"/>
        <v>115</v>
      </c>
      <c r="DN14" s="5">
        <f t="shared" si="173"/>
        <v>116</v>
      </c>
      <c r="DO14" s="5">
        <f t="shared" si="173"/>
        <v>117</v>
      </c>
      <c r="DP14" s="5">
        <f t="shared" si="173"/>
        <v>118</v>
      </c>
      <c r="DQ14" s="5">
        <f t="shared" si="173"/>
        <v>119</v>
      </c>
      <c r="DR14" s="5">
        <f t="shared" si="173"/>
        <v>120</v>
      </c>
      <c r="DS14" s="5">
        <f t="shared" si="173"/>
        <v>121</v>
      </c>
      <c r="DT14" s="5">
        <f t="shared" si="173"/>
        <v>122</v>
      </c>
      <c r="DU14" s="5">
        <f t="shared" si="173"/>
        <v>123</v>
      </c>
      <c r="DV14" s="5">
        <f t="shared" si="173"/>
        <v>124</v>
      </c>
      <c r="DW14" s="5">
        <f t="shared" si="173"/>
        <v>125</v>
      </c>
      <c r="DX14" s="5">
        <f t="shared" si="173"/>
        <v>126</v>
      </c>
      <c r="DY14" s="5">
        <f t="shared" si="173"/>
        <v>127</v>
      </c>
      <c r="DZ14" s="5">
        <f t="shared" si="173"/>
        <v>128</v>
      </c>
      <c r="EA14" s="5">
        <f t="shared" si="173"/>
        <v>129</v>
      </c>
      <c r="EB14" s="5">
        <f t="shared" si="173"/>
        <v>130</v>
      </c>
      <c r="EC14" s="5">
        <f t="shared" ref="EC14:FH14" si="174">EB14+1</f>
        <v>131</v>
      </c>
      <c r="ED14" s="5">
        <f t="shared" si="174"/>
        <v>132</v>
      </c>
      <c r="EE14" s="5">
        <f t="shared" si="174"/>
        <v>133</v>
      </c>
      <c r="EF14" s="5">
        <f t="shared" si="174"/>
        <v>134</v>
      </c>
      <c r="EG14" s="5">
        <f t="shared" si="174"/>
        <v>135</v>
      </c>
      <c r="EH14" s="5">
        <f t="shared" si="174"/>
        <v>136</v>
      </c>
      <c r="EI14" s="5">
        <f t="shared" si="174"/>
        <v>137</v>
      </c>
      <c r="EJ14" s="5">
        <f t="shared" si="174"/>
        <v>138</v>
      </c>
      <c r="EK14" s="5">
        <f t="shared" si="174"/>
        <v>139</v>
      </c>
      <c r="EL14" s="5">
        <f t="shared" si="174"/>
        <v>140</v>
      </c>
      <c r="EM14" s="5">
        <f t="shared" si="174"/>
        <v>141</v>
      </c>
      <c r="EN14" s="5">
        <f t="shared" si="174"/>
        <v>142</v>
      </c>
      <c r="EO14" s="5">
        <f t="shared" si="174"/>
        <v>143</v>
      </c>
      <c r="EP14" s="5">
        <f t="shared" si="174"/>
        <v>144</v>
      </c>
      <c r="EQ14" s="5">
        <f t="shared" si="174"/>
        <v>145</v>
      </c>
      <c r="ER14" s="5">
        <f t="shared" si="174"/>
        <v>146</v>
      </c>
      <c r="ES14" s="5">
        <f t="shared" si="174"/>
        <v>147</v>
      </c>
      <c r="ET14" s="5">
        <f t="shared" si="174"/>
        <v>148</v>
      </c>
      <c r="EU14" s="5">
        <f t="shared" si="174"/>
        <v>149</v>
      </c>
      <c r="EV14" s="5">
        <f t="shared" si="174"/>
        <v>150</v>
      </c>
      <c r="EW14" s="5">
        <f t="shared" si="174"/>
        <v>151</v>
      </c>
      <c r="EX14" s="5">
        <f t="shared" si="174"/>
        <v>152</v>
      </c>
      <c r="EY14" s="5">
        <f t="shared" si="174"/>
        <v>153</v>
      </c>
      <c r="EZ14" s="5">
        <f t="shared" si="174"/>
        <v>154</v>
      </c>
      <c r="FA14" s="5">
        <f t="shared" si="174"/>
        <v>155</v>
      </c>
      <c r="FB14" s="5">
        <f t="shared" si="174"/>
        <v>156</v>
      </c>
      <c r="FC14" s="5">
        <f t="shared" si="174"/>
        <v>157</v>
      </c>
      <c r="FD14" s="5">
        <f t="shared" si="174"/>
        <v>158</v>
      </c>
      <c r="FE14" s="5">
        <f t="shared" si="174"/>
        <v>159</v>
      </c>
      <c r="FF14" s="5">
        <f t="shared" si="174"/>
        <v>160</v>
      </c>
      <c r="FG14" s="5">
        <f t="shared" si="174"/>
        <v>161</v>
      </c>
      <c r="FH14" s="5">
        <f t="shared" si="174"/>
        <v>162</v>
      </c>
      <c r="FI14" s="5">
        <f t="shared" ref="FI14:FZ14" si="175">FH14+1</f>
        <v>163</v>
      </c>
      <c r="FJ14" s="5">
        <f t="shared" si="175"/>
        <v>164</v>
      </c>
      <c r="FK14" s="5">
        <f t="shared" si="175"/>
        <v>165</v>
      </c>
      <c r="FL14" s="5">
        <f t="shared" si="175"/>
        <v>166</v>
      </c>
      <c r="FM14" s="5">
        <f t="shared" si="175"/>
        <v>167</v>
      </c>
      <c r="FN14" s="5">
        <f t="shared" si="175"/>
        <v>168</v>
      </c>
      <c r="FO14" s="5">
        <f t="shared" si="175"/>
        <v>169</v>
      </c>
      <c r="FP14" s="5">
        <f t="shared" si="175"/>
        <v>170</v>
      </c>
      <c r="FQ14" s="5">
        <f t="shared" si="175"/>
        <v>171</v>
      </c>
      <c r="FR14" s="5">
        <f t="shared" si="175"/>
        <v>172</v>
      </c>
      <c r="FS14" s="5">
        <f t="shared" si="175"/>
        <v>173</v>
      </c>
      <c r="FT14" s="5">
        <f t="shared" si="175"/>
        <v>174</v>
      </c>
      <c r="FU14" s="5">
        <f t="shared" si="175"/>
        <v>175</v>
      </c>
      <c r="FV14" s="5">
        <f t="shared" si="175"/>
        <v>176</v>
      </c>
      <c r="FW14" s="5">
        <f t="shared" si="175"/>
        <v>177</v>
      </c>
      <c r="FX14" s="5">
        <f t="shared" si="175"/>
        <v>178</v>
      </c>
      <c r="FY14" s="5">
        <f t="shared" si="175"/>
        <v>179</v>
      </c>
      <c r="FZ14" s="6">
        <f t="shared" si="175"/>
        <v>180</v>
      </c>
    </row>
    <row r="15" spans="2:182" x14ac:dyDescent="0.2">
      <c r="B15" s="99" t="s">
        <v>131</v>
      </c>
      <c r="C15" s="100">
        <f>EOMONTH(Analysis_Start,0)</f>
        <v>43861</v>
      </c>
      <c r="D15" s="100">
        <f>EOMONTH(C15,1)</f>
        <v>43890</v>
      </c>
      <c r="E15" s="100">
        <f t="shared" ref="E15:BP15" si="176">EOMONTH(D15,1)</f>
        <v>43921</v>
      </c>
      <c r="F15" s="100">
        <f t="shared" si="176"/>
        <v>43951</v>
      </c>
      <c r="G15" s="100">
        <f t="shared" si="176"/>
        <v>43982</v>
      </c>
      <c r="H15" s="100">
        <f t="shared" si="176"/>
        <v>44012</v>
      </c>
      <c r="I15" s="100">
        <f t="shared" si="176"/>
        <v>44043</v>
      </c>
      <c r="J15" s="100">
        <f t="shared" si="176"/>
        <v>44074</v>
      </c>
      <c r="K15" s="100">
        <f t="shared" si="176"/>
        <v>44104</v>
      </c>
      <c r="L15" s="100">
        <f t="shared" si="176"/>
        <v>44135</v>
      </c>
      <c r="M15" s="100">
        <f t="shared" si="176"/>
        <v>44165</v>
      </c>
      <c r="N15" s="100">
        <f t="shared" si="176"/>
        <v>44196</v>
      </c>
      <c r="O15" s="100">
        <f t="shared" si="176"/>
        <v>44227</v>
      </c>
      <c r="P15" s="100">
        <f t="shared" si="176"/>
        <v>44255</v>
      </c>
      <c r="Q15" s="100">
        <f t="shared" si="176"/>
        <v>44286</v>
      </c>
      <c r="R15" s="100">
        <f t="shared" si="176"/>
        <v>44316</v>
      </c>
      <c r="S15" s="100">
        <f t="shared" si="176"/>
        <v>44347</v>
      </c>
      <c r="T15" s="100">
        <f t="shared" si="176"/>
        <v>44377</v>
      </c>
      <c r="U15" s="100">
        <f t="shared" si="176"/>
        <v>44408</v>
      </c>
      <c r="V15" s="100">
        <f t="shared" si="176"/>
        <v>44439</v>
      </c>
      <c r="W15" s="100">
        <f t="shared" si="176"/>
        <v>44469</v>
      </c>
      <c r="X15" s="100">
        <f t="shared" si="176"/>
        <v>44500</v>
      </c>
      <c r="Y15" s="100">
        <f t="shared" si="176"/>
        <v>44530</v>
      </c>
      <c r="Z15" s="100">
        <f t="shared" si="176"/>
        <v>44561</v>
      </c>
      <c r="AA15" s="100">
        <f t="shared" si="176"/>
        <v>44592</v>
      </c>
      <c r="AB15" s="100">
        <f t="shared" si="176"/>
        <v>44620</v>
      </c>
      <c r="AC15" s="100">
        <f t="shared" si="176"/>
        <v>44651</v>
      </c>
      <c r="AD15" s="100">
        <f t="shared" si="176"/>
        <v>44681</v>
      </c>
      <c r="AE15" s="100">
        <f t="shared" si="176"/>
        <v>44712</v>
      </c>
      <c r="AF15" s="100">
        <f t="shared" si="176"/>
        <v>44742</v>
      </c>
      <c r="AG15" s="100">
        <f t="shared" si="176"/>
        <v>44773</v>
      </c>
      <c r="AH15" s="100">
        <f t="shared" si="176"/>
        <v>44804</v>
      </c>
      <c r="AI15" s="100">
        <f t="shared" si="176"/>
        <v>44834</v>
      </c>
      <c r="AJ15" s="100">
        <f t="shared" si="176"/>
        <v>44865</v>
      </c>
      <c r="AK15" s="100">
        <f t="shared" si="176"/>
        <v>44895</v>
      </c>
      <c r="AL15" s="100">
        <f t="shared" si="176"/>
        <v>44926</v>
      </c>
      <c r="AM15" s="100">
        <f t="shared" si="176"/>
        <v>44957</v>
      </c>
      <c r="AN15" s="100">
        <f t="shared" si="176"/>
        <v>44985</v>
      </c>
      <c r="AO15" s="100">
        <f t="shared" si="176"/>
        <v>45016</v>
      </c>
      <c r="AP15" s="100">
        <f t="shared" si="176"/>
        <v>45046</v>
      </c>
      <c r="AQ15" s="100">
        <f t="shared" si="176"/>
        <v>45077</v>
      </c>
      <c r="AR15" s="100">
        <f t="shared" si="176"/>
        <v>45107</v>
      </c>
      <c r="AS15" s="100">
        <f t="shared" si="176"/>
        <v>45138</v>
      </c>
      <c r="AT15" s="100">
        <f t="shared" si="176"/>
        <v>45169</v>
      </c>
      <c r="AU15" s="100">
        <f t="shared" si="176"/>
        <v>45199</v>
      </c>
      <c r="AV15" s="100">
        <f t="shared" si="176"/>
        <v>45230</v>
      </c>
      <c r="AW15" s="100">
        <f t="shared" si="176"/>
        <v>45260</v>
      </c>
      <c r="AX15" s="100">
        <f t="shared" si="176"/>
        <v>45291</v>
      </c>
      <c r="AY15" s="100">
        <f t="shared" si="176"/>
        <v>45322</v>
      </c>
      <c r="AZ15" s="100">
        <f t="shared" si="176"/>
        <v>45351</v>
      </c>
      <c r="BA15" s="100">
        <f t="shared" si="176"/>
        <v>45382</v>
      </c>
      <c r="BB15" s="100">
        <f t="shared" si="176"/>
        <v>45412</v>
      </c>
      <c r="BC15" s="100">
        <f t="shared" si="176"/>
        <v>45443</v>
      </c>
      <c r="BD15" s="100">
        <f t="shared" si="176"/>
        <v>45473</v>
      </c>
      <c r="BE15" s="100">
        <f t="shared" si="176"/>
        <v>45504</v>
      </c>
      <c r="BF15" s="100">
        <f t="shared" si="176"/>
        <v>45535</v>
      </c>
      <c r="BG15" s="100">
        <f t="shared" si="176"/>
        <v>45565</v>
      </c>
      <c r="BH15" s="100">
        <f t="shared" si="176"/>
        <v>45596</v>
      </c>
      <c r="BI15" s="100">
        <f t="shared" si="176"/>
        <v>45626</v>
      </c>
      <c r="BJ15" s="100">
        <f t="shared" si="176"/>
        <v>45657</v>
      </c>
      <c r="BK15" s="100">
        <f t="shared" si="176"/>
        <v>45688</v>
      </c>
      <c r="BL15" s="100">
        <f t="shared" si="176"/>
        <v>45716</v>
      </c>
      <c r="BM15" s="100">
        <f t="shared" si="176"/>
        <v>45747</v>
      </c>
      <c r="BN15" s="100">
        <f t="shared" si="176"/>
        <v>45777</v>
      </c>
      <c r="BO15" s="100">
        <f t="shared" si="176"/>
        <v>45808</v>
      </c>
      <c r="BP15" s="100">
        <f t="shared" si="176"/>
        <v>45838</v>
      </c>
      <c r="BQ15" s="100">
        <f t="shared" ref="BQ15:EB15" si="177">EOMONTH(BP15,1)</f>
        <v>45869</v>
      </c>
      <c r="BR15" s="100">
        <f t="shared" si="177"/>
        <v>45900</v>
      </c>
      <c r="BS15" s="100">
        <f t="shared" si="177"/>
        <v>45930</v>
      </c>
      <c r="BT15" s="100">
        <f t="shared" si="177"/>
        <v>45961</v>
      </c>
      <c r="BU15" s="100">
        <f t="shared" si="177"/>
        <v>45991</v>
      </c>
      <c r="BV15" s="100">
        <f t="shared" si="177"/>
        <v>46022</v>
      </c>
      <c r="BW15" s="100">
        <f t="shared" si="177"/>
        <v>46053</v>
      </c>
      <c r="BX15" s="100">
        <f t="shared" si="177"/>
        <v>46081</v>
      </c>
      <c r="BY15" s="100">
        <f t="shared" si="177"/>
        <v>46112</v>
      </c>
      <c r="BZ15" s="100">
        <f t="shared" si="177"/>
        <v>46142</v>
      </c>
      <c r="CA15" s="100">
        <f t="shared" si="177"/>
        <v>46173</v>
      </c>
      <c r="CB15" s="100">
        <f t="shared" si="177"/>
        <v>46203</v>
      </c>
      <c r="CC15" s="100">
        <f t="shared" si="177"/>
        <v>46234</v>
      </c>
      <c r="CD15" s="100">
        <f t="shared" si="177"/>
        <v>46265</v>
      </c>
      <c r="CE15" s="100">
        <f t="shared" si="177"/>
        <v>46295</v>
      </c>
      <c r="CF15" s="100">
        <f t="shared" si="177"/>
        <v>46326</v>
      </c>
      <c r="CG15" s="100">
        <f t="shared" si="177"/>
        <v>46356</v>
      </c>
      <c r="CH15" s="100">
        <f t="shared" si="177"/>
        <v>46387</v>
      </c>
      <c r="CI15" s="100">
        <f t="shared" si="177"/>
        <v>46418</v>
      </c>
      <c r="CJ15" s="100">
        <f t="shared" si="177"/>
        <v>46446</v>
      </c>
      <c r="CK15" s="100">
        <f t="shared" si="177"/>
        <v>46477</v>
      </c>
      <c r="CL15" s="100">
        <f t="shared" si="177"/>
        <v>46507</v>
      </c>
      <c r="CM15" s="100">
        <f t="shared" si="177"/>
        <v>46538</v>
      </c>
      <c r="CN15" s="100">
        <f t="shared" si="177"/>
        <v>46568</v>
      </c>
      <c r="CO15" s="100">
        <f t="shared" si="177"/>
        <v>46599</v>
      </c>
      <c r="CP15" s="100">
        <f t="shared" si="177"/>
        <v>46630</v>
      </c>
      <c r="CQ15" s="100">
        <f t="shared" si="177"/>
        <v>46660</v>
      </c>
      <c r="CR15" s="100">
        <f t="shared" si="177"/>
        <v>46691</v>
      </c>
      <c r="CS15" s="100">
        <f t="shared" si="177"/>
        <v>46721</v>
      </c>
      <c r="CT15" s="100">
        <f t="shared" si="177"/>
        <v>46752</v>
      </c>
      <c r="CU15" s="100">
        <f t="shared" si="177"/>
        <v>46783</v>
      </c>
      <c r="CV15" s="100">
        <f t="shared" si="177"/>
        <v>46812</v>
      </c>
      <c r="CW15" s="100">
        <f t="shared" si="177"/>
        <v>46843</v>
      </c>
      <c r="CX15" s="100">
        <f t="shared" si="177"/>
        <v>46873</v>
      </c>
      <c r="CY15" s="100">
        <f t="shared" si="177"/>
        <v>46904</v>
      </c>
      <c r="CZ15" s="100">
        <f t="shared" si="177"/>
        <v>46934</v>
      </c>
      <c r="DA15" s="100">
        <f t="shared" si="177"/>
        <v>46965</v>
      </c>
      <c r="DB15" s="100">
        <f t="shared" si="177"/>
        <v>46996</v>
      </c>
      <c r="DC15" s="100">
        <f t="shared" si="177"/>
        <v>47026</v>
      </c>
      <c r="DD15" s="100">
        <f t="shared" si="177"/>
        <v>47057</v>
      </c>
      <c r="DE15" s="100">
        <f t="shared" si="177"/>
        <v>47087</v>
      </c>
      <c r="DF15" s="100">
        <f t="shared" si="177"/>
        <v>47118</v>
      </c>
      <c r="DG15" s="100">
        <f t="shared" si="177"/>
        <v>47149</v>
      </c>
      <c r="DH15" s="100">
        <f t="shared" si="177"/>
        <v>47177</v>
      </c>
      <c r="DI15" s="100">
        <f t="shared" si="177"/>
        <v>47208</v>
      </c>
      <c r="DJ15" s="100">
        <f t="shared" si="177"/>
        <v>47238</v>
      </c>
      <c r="DK15" s="100">
        <f t="shared" si="177"/>
        <v>47269</v>
      </c>
      <c r="DL15" s="100">
        <f t="shared" si="177"/>
        <v>47299</v>
      </c>
      <c r="DM15" s="100">
        <f t="shared" si="177"/>
        <v>47330</v>
      </c>
      <c r="DN15" s="100">
        <f t="shared" si="177"/>
        <v>47361</v>
      </c>
      <c r="DO15" s="100">
        <f t="shared" si="177"/>
        <v>47391</v>
      </c>
      <c r="DP15" s="100">
        <f t="shared" si="177"/>
        <v>47422</v>
      </c>
      <c r="DQ15" s="100">
        <f t="shared" si="177"/>
        <v>47452</v>
      </c>
      <c r="DR15" s="100">
        <f t="shared" si="177"/>
        <v>47483</v>
      </c>
      <c r="DS15" s="100">
        <f t="shared" si="177"/>
        <v>47514</v>
      </c>
      <c r="DT15" s="100">
        <f t="shared" si="177"/>
        <v>47542</v>
      </c>
      <c r="DU15" s="100">
        <f t="shared" si="177"/>
        <v>47573</v>
      </c>
      <c r="DV15" s="100">
        <f t="shared" si="177"/>
        <v>47603</v>
      </c>
      <c r="DW15" s="100">
        <f t="shared" si="177"/>
        <v>47634</v>
      </c>
      <c r="DX15" s="100">
        <f t="shared" si="177"/>
        <v>47664</v>
      </c>
      <c r="DY15" s="100">
        <f t="shared" si="177"/>
        <v>47695</v>
      </c>
      <c r="DZ15" s="100">
        <f t="shared" si="177"/>
        <v>47726</v>
      </c>
      <c r="EA15" s="100">
        <f t="shared" si="177"/>
        <v>47756</v>
      </c>
      <c r="EB15" s="100">
        <f t="shared" si="177"/>
        <v>47787</v>
      </c>
      <c r="EC15" s="100">
        <f t="shared" ref="EC15:FZ15" si="178">EOMONTH(EB15,1)</f>
        <v>47817</v>
      </c>
      <c r="ED15" s="100">
        <f t="shared" si="178"/>
        <v>47848</v>
      </c>
      <c r="EE15" s="100">
        <f t="shared" si="178"/>
        <v>47879</v>
      </c>
      <c r="EF15" s="100">
        <f t="shared" si="178"/>
        <v>47907</v>
      </c>
      <c r="EG15" s="100">
        <f t="shared" si="178"/>
        <v>47938</v>
      </c>
      <c r="EH15" s="100">
        <f t="shared" si="178"/>
        <v>47968</v>
      </c>
      <c r="EI15" s="100">
        <f t="shared" si="178"/>
        <v>47999</v>
      </c>
      <c r="EJ15" s="100">
        <f t="shared" si="178"/>
        <v>48029</v>
      </c>
      <c r="EK15" s="100">
        <f t="shared" si="178"/>
        <v>48060</v>
      </c>
      <c r="EL15" s="100">
        <f t="shared" si="178"/>
        <v>48091</v>
      </c>
      <c r="EM15" s="100">
        <f t="shared" si="178"/>
        <v>48121</v>
      </c>
      <c r="EN15" s="100">
        <f t="shared" si="178"/>
        <v>48152</v>
      </c>
      <c r="EO15" s="100">
        <f t="shared" si="178"/>
        <v>48182</v>
      </c>
      <c r="EP15" s="100">
        <f t="shared" si="178"/>
        <v>48213</v>
      </c>
      <c r="EQ15" s="100">
        <f t="shared" si="178"/>
        <v>48244</v>
      </c>
      <c r="ER15" s="100">
        <f t="shared" si="178"/>
        <v>48273</v>
      </c>
      <c r="ES15" s="100">
        <f t="shared" si="178"/>
        <v>48304</v>
      </c>
      <c r="ET15" s="100">
        <f t="shared" si="178"/>
        <v>48334</v>
      </c>
      <c r="EU15" s="100">
        <f t="shared" si="178"/>
        <v>48365</v>
      </c>
      <c r="EV15" s="100">
        <f t="shared" si="178"/>
        <v>48395</v>
      </c>
      <c r="EW15" s="100">
        <f t="shared" si="178"/>
        <v>48426</v>
      </c>
      <c r="EX15" s="100">
        <f t="shared" si="178"/>
        <v>48457</v>
      </c>
      <c r="EY15" s="100">
        <f t="shared" si="178"/>
        <v>48487</v>
      </c>
      <c r="EZ15" s="100">
        <f t="shared" si="178"/>
        <v>48518</v>
      </c>
      <c r="FA15" s="100">
        <f t="shared" si="178"/>
        <v>48548</v>
      </c>
      <c r="FB15" s="100">
        <f t="shared" si="178"/>
        <v>48579</v>
      </c>
      <c r="FC15" s="100">
        <f t="shared" si="178"/>
        <v>48610</v>
      </c>
      <c r="FD15" s="100">
        <f t="shared" si="178"/>
        <v>48638</v>
      </c>
      <c r="FE15" s="100">
        <f t="shared" si="178"/>
        <v>48669</v>
      </c>
      <c r="FF15" s="100">
        <f t="shared" si="178"/>
        <v>48699</v>
      </c>
      <c r="FG15" s="100">
        <f t="shared" si="178"/>
        <v>48730</v>
      </c>
      <c r="FH15" s="100">
        <f t="shared" si="178"/>
        <v>48760</v>
      </c>
      <c r="FI15" s="100">
        <f t="shared" si="178"/>
        <v>48791</v>
      </c>
      <c r="FJ15" s="100">
        <f t="shared" si="178"/>
        <v>48822</v>
      </c>
      <c r="FK15" s="100">
        <f t="shared" si="178"/>
        <v>48852</v>
      </c>
      <c r="FL15" s="100">
        <f t="shared" si="178"/>
        <v>48883</v>
      </c>
      <c r="FM15" s="100">
        <f t="shared" si="178"/>
        <v>48913</v>
      </c>
      <c r="FN15" s="100">
        <f t="shared" si="178"/>
        <v>48944</v>
      </c>
      <c r="FO15" s="100">
        <f t="shared" si="178"/>
        <v>48975</v>
      </c>
      <c r="FP15" s="100">
        <f t="shared" si="178"/>
        <v>49003</v>
      </c>
      <c r="FQ15" s="100">
        <f t="shared" si="178"/>
        <v>49034</v>
      </c>
      <c r="FR15" s="100">
        <f t="shared" si="178"/>
        <v>49064</v>
      </c>
      <c r="FS15" s="100">
        <f t="shared" si="178"/>
        <v>49095</v>
      </c>
      <c r="FT15" s="100">
        <f t="shared" si="178"/>
        <v>49125</v>
      </c>
      <c r="FU15" s="100">
        <f t="shared" si="178"/>
        <v>49156</v>
      </c>
      <c r="FV15" s="100">
        <f t="shared" si="178"/>
        <v>49187</v>
      </c>
      <c r="FW15" s="100">
        <f t="shared" si="178"/>
        <v>49217</v>
      </c>
      <c r="FX15" s="100">
        <f t="shared" si="178"/>
        <v>49248</v>
      </c>
      <c r="FY15" s="100">
        <f t="shared" si="178"/>
        <v>49278</v>
      </c>
      <c r="FZ15" s="101">
        <f t="shared" si="178"/>
        <v>49309</v>
      </c>
    </row>
    <row r="16" spans="2:182" x14ac:dyDescent="0.2">
      <c r="B16" s="4"/>
      <c r="C16" s="102">
        <f>IF(OR($B5="",$B5=0),"",($G5*(C$14&lt;$I5)+$H5*(C$14&gt;=$I5))*$C5*(1+'Property Summary'!$I$18)^(C$13-1))</f>
        <v>48400</v>
      </c>
      <c r="D16" s="102">
        <f>IF(OR($B5="",$B5=0),"",($G5*(D$14&lt;$I5)+$H5*(D$14&gt;=$I5))*$C5*(1+'Property Summary'!$I$18)^(D$13-1))</f>
        <v>48400</v>
      </c>
      <c r="E16" s="102">
        <f>IF(OR($B5="",$B5=0),"",($G5*(E$14&lt;$I5)+$H5*(E$14&gt;=$I5))*$C5*(1+'Property Summary'!$I$18)^(E$13-1))</f>
        <v>48400</v>
      </c>
      <c r="F16" s="102">
        <f>IF(OR($B5="",$B5=0),"",($G5*(F$14&lt;$I5)+$H5*(F$14&gt;=$I5))*$C5*(1+'Property Summary'!$I$18)^(F$13-1))</f>
        <v>48400</v>
      </c>
      <c r="G16" s="102">
        <f>IF(OR($B5="",$B5=0),"",($G5*(G$14&lt;$I5)+$H5*(G$14&gt;=$I5))*$C5*(1+'Property Summary'!$I$18)^(G$13-1))</f>
        <v>48400</v>
      </c>
      <c r="H16" s="102">
        <f>IF(OR($B5="",$B5=0),"",($G5*(H$14&lt;$I5)+$H5*(H$14&gt;=$I5))*$C5*(1+'Property Summary'!$I$18)^(H$13-1))</f>
        <v>48400</v>
      </c>
      <c r="I16" s="102">
        <f>IF(OR($B5="",$B5=0),"",($G5*(I$14&lt;$I5)+$H5*(I$14&gt;=$I5))*$C5*(1+'Property Summary'!$I$18)^(I$13-1))</f>
        <v>48400</v>
      </c>
      <c r="J16" s="102">
        <f>IF(OR($B5="",$B5=0),"",($G5*(J$14&lt;$I5)+$H5*(J$14&gt;=$I5))*$C5*(1+'Property Summary'!$I$18)^(J$13-1))</f>
        <v>48400</v>
      </c>
      <c r="K16" s="102">
        <f>IF(OR($B5="",$B5=0),"",($G5*(K$14&lt;$I5)+$H5*(K$14&gt;=$I5))*$C5*(1+'Property Summary'!$I$18)^(K$13-1))</f>
        <v>48400</v>
      </c>
      <c r="L16" s="102">
        <f>IF(OR($B5="",$B5=0),"",($G5*(L$14&lt;$I5)+$H5*(L$14&gt;=$I5))*$C5*(1+'Property Summary'!$I$18)^(L$13-1))</f>
        <v>48400</v>
      </c>
      <c r="M16" s="102">
        <f>IF(OR($B5="",$B5=0),"",($G5*(M$14&lt;$I5)+$H5*(M$14&gt;=$I5))*$C5*(1+'Property Summary'!$I$18)^(M$13-1))</f>
        <v>48400</v>
      </c>
      <c r="N16" s="102">
        <f>IF(OR($B5="",$B5=0),"",($G5*(N$14&lt;$I5)+$H5*(N$14&gt;=$I5))*$C5*(1+'Property Summary'!$I$18)^(N$13-1))</f>
        <v>48400</v>
      </c>
      <c r="O16" s="102">
        <f>IF(OR($B5="",$B5=0),"",($G5*(O$14&lt;$I5)+$H5*(O$14&gt;=$I5))*$C5*(1+'Property Summary'!$I$18)^(O$13-1))</f>
        <v>52475.499999999993</v>
      </c>
      <c r="P16" s="102">
        <f>IF(OR($B5="",$B5=0),"",($G5*(P$14&lt;$I5)+$H5*(P$14&gt;=$I5))*$C5*(1+'Property Summary'!$I$18)^(P$13-1))</f>
        <v>52475.499999999993</v>
      </c>
      <c r="Q16" s="102">
        <f>IF(OR($B5="",$B5=0),"",($G5*(Q$14&lt;$I5)+$H5*(Q$14&gt;=$I5))*$C5*(1+'Property Summary'!$I$18)^(Q$13-1))</f>
        <v>52475.499999999993</v>
      </c>
      <c r="R16" s="102">
        <f>IF(OR($B5="",$B5=0),"",($G5*(R$14&lt;$I5)+$H5*(R$14&gt;=$I5))*$C5*(1+'Property Summary'!$I$18)^(R$13-1))</f>
        <v>52475.499999999993</v>
      </c>
      <c r="S16" s="102">
        <f>IF(OR($B5="",$B5=0),"",($G5*(S$14&lt;$I5)+$H5*(S$14&gt;=$I5))*$C5*(1+'Property Summary'!$I$18)^(S$13-1))</f>
        <v>52475.499999999993</v>
      </c>
      <c r="T16" s="102">
        <f>IF(OR($B5="",$B5=0),"",($G5*(T$14&lt;$I5)+$H5*(T$14&gt;=$I5))*$C5*(1+'Property Summary'!$I$18)^(T$13-1))</f>
        <v>52475.499999999993</v>
      </c>
      <c r="U16" s="102">
        <f>IF(OR($B5="",$B5=0),"",($G5*(U$14&lt;$I5)+$H5*(U$14&gt;=$I5))*$C5*(1+'Property Summary'!$I$18)^(U$13-1))</f>
        <v>52475.499999999993</v>
      </c>
      <c r="V16" s="102">
        <f>IF(OR($B5="",$B5=0),"",($G5*(V$14&lt;$I5)+$H5*(V$14&gt;=$I5))*$C5*(1+'Property Summary'!$I$18)^(V$13-1))</f>
        <v>52475.499999999993</v>
      </c>
      <c r="W16" s="102">
        <f>IF(OR($B5="",$B5=0),"",($G5*(W$14&lt;$I5)+$H5*(W$14&gt;=$I5))*$C5*(1+'Property Summary'!$I$18)^(W$13-1))</f>
        <v>52475.499999999993</v>
      </c>
      <c r="X16" s="102">
        <f>IF(OR($B5="",$B5=0),"",($G5*(X$14&lt;$I5)+$H5*(X$14&gt;=$I5))*$C5*(1+'Property Summary'!$I$18)^(X$13-1))</f>
        <v>52475.499999999993</v>
      </c>
      <c r="Y16" s="102">
        <f>IF(OR($B5="",$B5=0),"",($G5*(Y$14&lt;$I5)+$H5*(Y$14&gt;=$I5))*$C5*(1+'Property Summary'!$I$18)^(Y$13-1))</f>
        <v>52475.499999999993</v>
      </c>
      <c r="Z16" s="102">
        <f>IF(OR($B5="",$B5=0),"",($G5*(Z$14&lt;$I5)+$H5*(Z$14&gt;=$I5))*$C5*(1+'Property Summary'!$I$18)^(Z$13-1))</f>
        <v>52475.499999999993</v>
      </c>
      <c r="AA16" s="102">
        <f>IF(OR($B5="",$B5=0),"",($G5*(AA$14&lt;$I5)+$H5*(AA$14&gt;=$I5))*$C5*(1+'Property Summary'!$I$18)^(AA$13-1))</f>
        <v>53262.632499999985</v>
      </c>
      <c r="AB16" s="102">
        <f>IF(OR($B5="",$B5=0),"",($G5*(AB$14&lt;$I5)+$H5*(AB$14&gt;=$I5))*$C5*(1+'Property Summary'!$I$18)^(AB$13-1))</f>
        <v>53262.632499999985</v>
      </c>
      <c r="AC16" s="102">
        <f>IF(OR($B5="",$B5=0),"",($G5*(AC$14&lt;$I5)+$H5*(AC$14&gt;=$I5))*$C5*(1+'Property Summary'!$I$18)^(AC$13-1))</f>
        <v>53262.632499999985</v>
      </c>
      <c r="AD16" s="102">
        <f>IF(OR($B5="",$B5=0),"",($G5*(AD$14&lt;$I5)+$H5*(AD$14&gt;=$I5))*$C5*(1+'Property Summary'!$I$18)^(AD$13-1))</f>
        <v>53262.632499999985</v>
      </c>
      <c r="AE16" s="102">
        <f>IF(OR($B5="",$B5=0),"",($G5*(AE$14&lt;$I5)+$H5*(AE$14&gt;=$I5))*$C5*(1+'Property Summary'!$I$18)^(AE$13-1))</f>
        <v>53262.632499999985</v>
      </c>
      <c r="AF16" s="102">
        <f>IF(OR($B5="",$B5=0),"",($G5*(AF$14&lt;$I5)+$H5*(AF$14&gt;=$I5))*$C5*(1+'Property Summary'!$I$18)^(AF$13-1))</f>
        <v>53262.632499999985</v>
      </c>
      <c r="AG16" s="102">
        <f>IF(OR($B5="",$B5=0),"",($G5*(AG$14&lt;$I5)+$H5*(AG$14&gt;=$I5))*$C5*(1+'Property Summary'!$I$18)^(AG$13-1))</f>
        <v>53262.632499999985</v>
      </c>
      <c r="AH16" s="102">
        <f>IF(OR($B5="",$B5=0),"",($G5*(AH$14&lt;$I5)+$H5*(AH$14&gt;=$I5))*$C5*(1+'Property Summary'!$I$18)^(AH$13-1))</f>
        <v>53262.632499999985</v>
      </c>
      <c r="AI16" s="102">
        <f>IF(OR($B5="",$B5=0),"",($G5*(AI$14&lt;$I5)+$H5*(AI$14&gt;=$I5))*$C5*(1+'Property Summary'!$I$18)^(AI$13-1))</f>
        <v>53262.632499999985</v>
      </c>
      <c r="AJ16" s="102">
        <f>IF(OR($B5="",$B5=0),"",($G5*(AJ$14&lt;$I5)+$H5*(AJ$14&gt;=$I5))*$C5*(1+'Property Summary'!$I$18)^(AJ$13-1))</f>
        <v>53262.632499999985</v>
      </c>
      <c r="AK16" s="102">
        <f>IF(OR($B5="",$B5=0),"",($G5*(AK$14&lt;$I5)+$H5*(AK$14&gt;=$I5))*$C5*(1+'Property Summary'!$I$18)^(AK$13-1))</f>
        <v>53262.632499999985</v>
      </c>
      <c r="AL16" s="102">
        <f>IF(OR($B5="",$B5=0),"",($G5*(AL$14&lt;$I5)+$H5*(AL$14&gt;=$I5))*$C5*(1+'Property Summary'!$I$18)^(AL$13-1))</f>
        <v>53262.632499999985</v>
      </c>
      <c r="AM16" s="102">
        <f>IF(OR($B5="",$B5=0),"",($G5*(AM$14&lt;$I5)+$H5*(AM$14&gt;=$I5))*$C5*(1+'Property Summary'!$I$18)^(AM$13-1))</f>
        <v>54061.571987499978</v>
      </c>
      <c r="AN16" s="102">
        <f>IF(OR($B5="",$B5=0),"",($G5*(AN$14&lt;$I5)+$H5*(AN$14&gt;=$I5))*$C5*(1+'Property Summary'!$I$18)^(AN$13-1))</f>
        <v>54061.571987499978</v>
      </c>
      <c r="AO16" s="102">
        <f>IF(OR($B5="",$B5=0),"",($G5*(AO$14&lt;$I5)+$H5*(AO$14&gt;=$I5))*$C5*(1+'Property Summary'!$I$18)^(AO$13-1))</f>
        <v>54061.571987499978</v>
      </c>
      <c r="AP16" s="102">
        <f>IF(OR($B5="",$B5=0),"",($G5*(AP$14&lt;$I5)+$H5*(AP$14&gt;=$I5))*$C5*(1+'Property Summary'!$I$18)^(AP$13-1))</f>
        <v>54061.571987499978</v>
      </c>
      <c r="AQ16" s="102">
        <f>IF(OR($B5="",$B5=0),"",($G5*(AQ$14&lt;$I5)+$H5*(AQ$14&gt;=$I5))*$C5*(1+'Property Summary'!$I$18)^(AQ$13-1))</f>
        <v>54061.571987499978</v>
      </c>
      <c r="AR16" s="102">
        <f>IF(OR($B5="",$B5=0),"",($G5*(AR$14&lt;$I5)+$H5*(AR$14&gt;=$I5))*$C5*(1+'Property Summary'!$I$18)^(AR$13-1))</f>
        <v>54061.571987499978</v>
      </c>
      <c r="AS16" s="102">
        <f>IF(OR($B5="",$B5=0),"",($G5*(AS$14&lt;$I5)+$H5*(AS$14&gt;=$I5))*$C5*(1+'Property Summary'!$I$18)^(AS$13-1))</f>
        <v>54061.571987499978</v>
      </c>
      <c r="AT16" s="102">
        <f>IF(OR($B5="",$B5=0),"",($G5*(AT$14&lt;$I5)+$H5*(AT$14&gt;=$I5))*$C5*(1+'Property Summary'!$I$18)^(AT$13-1))</f>
        <v>54061.571987499978</v>
      </c>
      <c r="AU16" s="102">
        <f>IF(OR($B5="",$B5=0),"",($G5*(AU$14&lt;$I5)+$H5*(AU$14&gt;=$I5))*$C5*(1+'Property Summary'!$I$18)^(AU$13-1))</f>
        <v>54061.571987499978</v>
      </c>
      <c r="AV16" s="102">
        <f>IF(OR($B5="",$B5=0),"",($G5*(AV$14&lt;$I5)+$H5*(AV$14&gt;=$I5))*$C5*(1+'Property Summary'!$I$18)^(AV$13-1))</f>
        <v>54061.571987499978</v>
      </c>
      <c r="AW16" s="102">
        <f>IF(OR($B5="",$B5=0),"",($G5*(AW$14&lt;$I5)+$H5*(AW$14&gt;=$I5))*$C5*(1+'Property Summary'!$I$18)^(AW$13-1))</f>
        <v>54061.571987499978</v>
      </c>
      <c r="AX16" s="102">
        <f>IF(OR($B5="",$B5=0),"",($G5*(AX$14&lt;$I5)+$H5*(AX$14&gt;=$I5))*$C5*(1+'Property Summary'!$I$18)^(AX$13-1))</f>
        <v>54061.571987499978</v>
      </c>
      <c r="AY16" s="102">
        <f>IF(OR($B5="",$B5=0),"",($G5*(AY$14&lt;$I5)+$H5*(AY$14&gt;=$I5))*$C5*(1+'Property Summary'!$I$18)^(AY$13-1))</f>
        <v>54872.495567312471</v>
      </c>
      <c r="AZ16" s="102">
        <f>IF(OR($B5="",$B5=0),"",($G5*(AZ$14&lt;$I5)+$H5*(AZ$14&gt;=$I5))*$C5*(1+'Property Summary'!$I$18)^(AZ$13-1))</f>
        <v>54872.495567312471</v>
      </c>
      <c r="BA16" s="102">
        <f>IF(OR($B5="",$B5=0),"",($G5*(BA$14&lt;$I5)+$H5*(BA$14&gt;=$I5))*$C5*(1+'Property Summary'!$I$18)^(BA$13-1))</f>
        <v>54872.495567312471</v>
      </c>
      <c r="BB16" s="102">
        <f>IF(OR($B5="",$B5=0),"",($G5*(BB$14&lt;$I5)+$H5*(BB$14&gt;=$I5))*$C5*(1+'Property Summary'!$I$18)^(BB$13-1))</f>
        <v>54872.495567312471</v>
      </c>
      <c r="BC16" s="102">
        <f>IF(OR($B5="",$B5=0),"",($G5*(BC$14&lt;$I5)+$H5*(BC$14&gt;=$I5))*$C5*(1+'Property Summary'!$I$18)^(BC$13-1))</f>
        <v>54872.495567312471</v>
      </c>
      <c r="BD16" s="102">
        <f>IF(OR($B5="",$B5=0),"",($G5*(BD$14&lt;$I5)+$H5*(BD$14&gt;=$I5))*$C5*(1+'Property Summary'!$I$18)^(BD$13-1))</f>
        <v>54872.495567312471</v>
      </c>
      <c r="BE16" s="102">
        <f>IF(OR($B5="",$B5=0),"",($G5*(BE$14&lt;$I5)+$H5*(BE$14&gt;=$I5))*$C5*(1+'Property Summary'!$I$18)^(BE$13-1))</f>
        <v>54872.495567312471</v>
      </c>
      <c r="BF16" s="102">
        <f>IF(OR($B5="",$B5=0),"",($G5*(BF$14&lt;$I5)+$H5*(BF$14&gt;=$I5))*$C5*(1+'Property Summary'!$I$18)^(BF$13-1))</f>
        <v>54872.495567312471</v>
      </c>
      <c r="BG16" s="102">
        <f>IF(OR($B5="",$B5=0),"",($G5*(BG$14&lt;$I5)+$H5*(BG$14&gt;=$I5))*$C5*(1+'Property Summary'!$I$18)^(BG$13-1))</f>
        <v>54872.495567312471</v>
      </c>
      <c r="BH16" s="102">
        <f>IF(OR($B5="",$B5=0),"",($G5*(BH$14&lt;$I5)+$H5*(BH$14&gt;=$I5))*$C5*(1+'Property Summary'!$I$18)^(BH$13-1))</f>
        <v>54872.495567312471</v>
      </c>
      <c r="BI16" s="102">
        <f>IF(OR($B5="",$B5=0),"",($G5*(BI$14&lt;$I5)+$H5*(BI$14&gt;=$I5))*$C5*(1+'Property Summary'!$I$18)^(BI$13-1))</f>
        <v>54872.495567312471</v>
      </c>
      <c r="BJ16" s="102">
        <f>IF(OR($B5="",$B5=0),"",($G5*(BJ$14&lt;$I5)+$H5*(BJ$14&gt;=$I5))*$C5*(1+'Property Summary'!$I$18)^(BJ$13-1))</f>
        <v>54872.495567312471</v>
      </c>
      <c r="BK16" s="102">
        <f>IF(OR($B5="",$B5=0),"",($G5*(BK$14&lt;$I5)+$H5*(BK$14&gt;=$I5))*$C5*(1+'Property Summary'!$I$18)^(BK$13-1))</f>
        <v>55695.583000822153</v>
      </c>
      <c r="BL16" s="102">
        <f>IF(OR($B5="",$B5=0),"",($G5*(BL$14&lt;$I5)+$H5*(BL$14&gt;=$I5))*$C5*(1+'Property Summary'!$I$18)^(BL$13-1))</f>
        <v>55695.583000822153</v>
      </c>
      <c r="BM16" s="102">
        <f>IF(OR($B5="",$B5=0),"",($G5*(BM$14&lt;$I5)+$H5*(BM$14&gt;=$I5))*$C5*(1+'Property Summary'!$I$18)^(BM$13-1))</f>
        <v>55695.583000822153</v>
      </c>
      <c r="BN16" s="102">
        <f>IF(OR($B5="",$B5=0),"",($G5*(BN$14&lt;$I5)+$H5*(BN$14&gt;=$I5))*$C5*(1+'Property Summary'!$I$18)^(BN$13-1))</f>
        <v>55695.583000822153</v>
      </c>
      <c r="BO16" s="102">
        <f>IF(OR($B5="",$B5=0),"",($G5*(BO$14&lt;$I5)+$H5*(BO$14&gt;=$I5))*$C5*(1+'Property Summary'!$I$18)^(BO$13-1))</f>
        <v>55695.583000822153</v>
      </c>
      <c r="BP16" s="102">
        <f>IF(OR($B5="",$B5=0),"",($G5*(BP$14&lt;$I5)+$H5*(BP$14&gt;=$I5))*$C5*(1+'Property Summary'!$I$18)^(BP$13-1))</f>
        <v>55695.583000822153</v>
      </c>
      <c r="BQ16" s="102">
        <f>IF(OR($B5="",$B5=0),"",($G5*(BQ$14&lt;$I5)+$H5*(BQ$14&gt;=$I5))*$C5*(1+'Property Summary'!$I$18)^(BQ$13-1))</f>
        <v>55695.583000822153</v>
      </c>
      <c r="BR16" s="102">
        <f>IF(OR($B5="",$B5=0),"",($G5*(BR$14&lt;$I5)+$H5*(BR$14&gt;=$I5))*$C5*(1+'Property Summary'!$I$18)^(BR$13-1))</f>
        <v>55695.583000822153</v>
      </c>
      <c r="BS16" s="102">
        <f>IF(OR($B5="",$B5=0),"",($G5*(BS$14&lt;$I5)+$H5*(BS$14&gt;=$I5))*$C5*(1+'Property Summary'!$I$18)^(BS$13-1))</f>
        <v>55695.583000822153</v>
      </c>
      <c r="BT16" s="102">
        <f>IF(OR($B5="",$B5=0),"",($G5*(BT$14&lt;$I5)+$H5*(BT$14&gt;=$I5))*$C5*(1+'Property Summary'!$I$18)^(BT$13-1))</f>
        <v>55695.583000822153</v>
      </c>
      <c r="BU16" s="102">
        <f>IF(OR($B5="",$B5=0),"",($G5*(BU$14&lt;$I5)+$H5*(BU$14&gt;=$I5))*$C5*(1+'Property Summary'!$I$18)^(BU$13-1))</f>
        <v>55695.583000822153</v>
      </c>
      <c r="BV16" s="102">
        <f>IF(OR($B5="",$B5=0),"",($G5*(BV$14&lt;$I5)+$H5*(BV$14&gt;=$I5))*$C5*(1+'Property Summary'!$I$18)^(BV$13-1))</f>
        <v>55695.583000822153</v>
      </c>
      <c r="BW16" s="102">
        <f>IF(OR($B5="",$B5=0),"",($G5*(BW$14&lt;$I5)+$H5*(BW$14&gt;=$I5))*$C5*(1+'Property Summary'!$I$18)^(BW$13-1))</f>
        <v>56531.016745834473</v>
      </c>
      <c r="BX16" s="102">
        <f>IF(OR($B5="",$B5=0),"",($G5*(BX$14&lt;$I5)+$H5*(BX$14&gt;=$I5))*$C5*(1+'Property Summary'!$I$18)^(BX$13-1))</f>
        <v>56531.016745834473</v>
      </c>
      <c r="BY16" s="102">
        <f>IF(OR($B5="",$B5=0),"",($G5*(BY$14&lt;$I5)+$H5*(BY$14&gt;=$I5))*$C5*(1+'Property Summary'!$I$18)^(BY$13-1))</f>
        <v>56531.016745834473</v>
      </c>
      <c r="BZ16" s="102">
        <f>IF(OR($B5="",$B5=0),"",($G5*(BZ$14&lt;$I5)+$H5*(BZ$14&gt;=$I5))*$C5*(1+'Property Summary'!$I$18)^(BZ$13-1))</f>
        <v>56531.016745834473</v>
      </c>
      <c r="CA16" s="102">
        <f>IF(OR($B5="",$B5=0),"",($G5*(CA$14&lt;$I5)+$H5*(CA$14&gt;=$I5))*$C5*(1+'Property Summary'!$I$18)^(CA$13-1))</f>
        <v>56531.016745834473</v>
      </c>
      <c r="CB16" s="102">
        <f>IF(OR($B5="",$B5=0),"",($G5*(CB$14&lt;$I5)+$H5*(CB$14&gt;=$I5))*$C5*(1+'Property Summary'!$I$18)^(CB$13-1))</f>
        <v>56531.016745834473</v>
      </c>
      <c r="CC16" s="102">
        <f>IF(OR($B5="",$B5=0),"",($G5*(CC$14&lt;$I5)+$H5*(CC$14&gt;=$I5))*$C5*(1+'Property Summary'!$I$18)^(CC$13-1))</f>
        <v>56531.016745834473</v>
      </c>
      <c r="CD16" s="102">
        <f>IF(OR($B5="",$B5=0),"",($G5*(CD$14&lt;$I5)+$H5*(CD$14&gt;=$I5))*$C5*(1+'Property Summary'!$I$18)^(CD$13-1))</f>
        <v>56531.016745834473</v>
      </c>
      <c r="CE16" s="102">
        <f>IF(OR($B5="",$B5=0),"",($G5*(CE$14&lt;$I5)+$H5*(CE$14&gt;=$I5))*$C5*(1+'Property Summary'!$I$18)^(CE$13-1))</f>
        <v>56531.016745834473</v>
      </c>
      <c r="CF16" s="102">
        <f>IF(OR($B5="",$B5=0),"",($G5*(CF$14&lt;$I5)+$H5*(CF$14&gt;=$I5))*$C5*(1+'Property Summary'!$I$18)^(CF$13-1))</f>
        <v>56531.016745834473</v>
      </c>
      <c r="CG16" s="102">
        <f>IF(OR($B5="",$B5=0),"",($G5*(CG$14&lt;$I5)+$H5*(CG$14&gt;=$I5))*$C5*(1+'Property Summary'!$I$18)^(CG$13-1))</f>
        <v>56531.016745834473</v>
      </c>
      <c r="CH16" s="102">
        <f>IF(OR($B5="",$B5=0),"",($G5*(CH$14&lt;$I5)+$H5*(CH$14&gt;=$I5))*$C5*(1+'Property Summary'!$I$18)^(CH$13-1))</f>
        <v>56531.016745834473</v>
      </c>
      <c r="CI16" s="102">
        <f>IF(OR($B5="",$B5=0),"",($G5*(CI$14&lt;$I5)+$H5*(CI$14&gt;=$I5))*$C5*(1+'Property Summary'!$I$18)^(CI$13-1))</f>
        <v>57378.981997021983</v>
      </c>
      <c r="CJ16" s="102">
        <f>IF(OR($B5="",$B5=0),"",($G5*(CJ$14&lt;$I5)+$H5*(CJ$14&gt;=$I5))*$C5*(1+'Property Summary'!$I$18)^(CJ$13-1))</f>
        <v>57378.981997021983</v>
      </c>
      <c r="CK16" s="102">
        <f>IF(OR($B5="",$B5=0),"",($G5*(CK$14&lt;$I5)+$H5*(CK$14&gt;=$I5))*$C5*(1+'Property Summary'!$I$18)^(CK$13-1))</f>
        <v>57378.981997021983</v>
      </c>
      <c r="CL16" s="102">
        <f>IF(OR($B5="",$B5=0),"",($G5*(CL$14&lt;$I5)+$H5*(CL$14&gt;=$I5))*$C5*(1+'Property Summary'!$I$18)^(CL$13-1))</f>
        <v>57378.981997021983</v>
      </c>
      <c r="CM16" s="102">
        <f>IF(OR($B5="",$B5=0),"",($G5*(CM$14&lt;$I5)+$H5*(CM$14&gt;=$I5))*$C5*(1+'Property Summary'!$I$18)^(CM$13-1))</f>
        <v>57378.981997021983</v>
      </c>
      <c r="CN16" s="102">
        <f>IF(OR($B5="",$B5=0),"",($G5*(CN$14&lt;$I5)+$H5*(CN$14&gt;=$I5))*$C5*(1+'Property Summary'!$I$18)^(CN$13-1))</f>
        <v>57378.981997021983</v>
      </c>
      <c r="CO16" s="102">
        <f>IF(OR($B5="",$B5=0),"",($G5*(CO$14&lt;$I5)+$H5*(CO$14&gt;=$I5))*$C5*(1+'Property Summary'!$I$18)^(CO$13-1))</f>
        <v>57378.981997021983</v>
      </c>
      <c r="CP16" s="102">
        <f>IF(OR($B5="",$B5=0),"",($G5*(CP$14&lt;$I5)+$H5*(CP$14&gt;=$I5))*$C5*(1+'Property Summary'!$I$18)^(CP$13-1))</f>
        <v>57378.981997021983</v>
      </c>
      <c r="CQ16" s="102">
        <f>IF(OR($B5="",$B5=0),"",($G5*(CQ$14&lt;$I5)+$H5*(CQ$14&gt;=$I5))*$C5*(1+'Property Summary'!$I$18)^(CQ$13-1))</f>
        <v>57378.981997021983</v>
      </c>
      <c r="CR16" s="102">
        <f>IF(OR($B5="",$B5=0),"",($G5*(CR$14&lt;$I5)+$H5*(CR$14&gt;=$I5))*$C5*(1+'Property Summary'!$I$18)^(CR$13-1))</f>
        <v>57378.981997021983</v>
      </c>
      <c r="CS16" s="102">
        <f>IF(OR($B5="",$B5=0),"",($G5*(CS$14&lt;$I5)+$H5*(CS$14&gt;=$I5))*$C5*(1+'Property Summary'!$I$18)^(CS$13-1))</f>
        <v>57378.981997021983</v>
      </c>
      <c r="CT16" s="102">
        <f>IF(OR($B5="",$B5=0),"",($G5*(CT$14&lt;$I5)+$H5*(CT$14&gt;=$I5))*$C5*(1+'Property Summary'!$I$18)^(CT$13-1))</f>
        <v>57378.981997021983</v>
      </c>
      <c r="CU16" s="102">
        <f>IF(OR($B5="",$B5=0),"",($G5*(CU$14&lt;$I5)+$H5*(CU$14&gt;=$I5))*$C5*(1+'Property Summary'!$I$18)^(CU$13-1))</f>
        <v>58239.666726977302</v>
      </c>
      <c r="CV16" s="102">
        <f>IF(OR($B5="",$B5=0),"",($G5*(CV$14&lt;$I5)+$H5*(CV$14&gt;=$I5))*$C5*(1+'Property Summary'!$I$18)^(CV$13-1))</f>
        <v>58239.666726977302</v>
      </c>
      <c r="CW16" s="102">
        <f>IF(OR($B5="",$B5=0),"",($G5*(CW$14&lt;$I5)+$H5*(CW$14&gt;=$I5))*$C5*(1+'Property Summary'!$I$18)^(CW$13-1))</f>
        <v>58239.666726977302</v>
      </c>
      <c r="CX16" s="102">
        <f>IF(OR($B5="",$B5=0),"",($G5*(CX$14&lt;$I5)+$H5*(CX$14&gt;=$I5))*$C5*(1+'Property Summary'!$I$18)^(CX$13-1))</f>
        <v>58239.666726977302</v>
      </c>
      <c r="CY16" s="102">
        <f>IF(OR($B5="",$B5=0),"",($G5*(CY$14&lt;$I5)+$H5*(CY$14&gt;=$I5))*$C5*(1+'Property Summary'!$I$18)^(CY$13-1))</f>
        <v>58239.666726977302</v>
      </c>
      <c r="CZ16" s="102">
        <f>IF(OR($B5="",$B5=0),"",($G5*(CZ$14&lt;$I5)+$H5*(CZ$14&gt;=$I5))*$C5*(1+'Property Summary'!$I$18)^(CZ$13-1))</f>
        <v>58239.666726977302</v>
      </c>
      <c r="DA16" s="102">
        <f>IF(OR($B5="",$B5=0),"",($G5*(DA$14&lt;$I5)+$H5*(DA$14&gt;=$I5))*$C5*(1+'Property Summary'!$I$18)^(DA$13-1))</f>
        <v>58239.666726977302</v>
      </c>
      <c r="DB16" s="102">
        <f>IF(OR($B5="",$B5=0),"",($G5*(DB$14&lt;$I5)+$H5*(DB$14&gt;=$I5))*$C5*(1+'Property Summary'!$I$18)^(DB$13-1))</f>
        <v>58239.666726977302</v>
      </c>
      <c r="DC16" s="102">
        <f>IF(OR($B5="",$B5=0),"",($G5*(DC$14&lt;$I5)+$H5*(DC$14&gt;=$I5))*$C5*(1+'Property Summary'!$I$18)^(DC$13-1))</f>
        <v>58239.666726977302</v>
      </c>
      <c r="DD16" s="102">
        <f>IF(OR($B5="",$B5=0),"",($G5*(DD$14&lt;$I5)+$H5*(DD$14&gt;=$I5))*$C5*(1+'Property Summary'!$I$18)^(DD$13-1))</f>
        <v>58239.666726977302</v>
      </c>
      <c r="DE16" s="102">
        <f>IF(OR($B5="",$B5=0),"",($G5*(DE$14&lt;$I5)+$H5*(DE$14&gt;=$I5))*$C5*(1+'Property Summary'!$I$18)^(DE$13-1))</f>
        <v>58239.666726977302</v>
      </c>
      <c r="DF16" s="102">
        <f>IF(OR($B5="",$B5=0),"",($G5*(DF$14&lt;$I5)+$H5*(DF$14&gt;=$I5))*$C5*(1+'Property Summary'!$I$18)^(DF$13-1))</f>
        <v>58239.666726977302</v>
      </c>
      <c r="DG16" s="102">
        <f>IF(OR($B5="",$B5=0),"",($G5*(DG$14&lt;$I5)+$H5*(DG$14&gt;=$I5))*$C5*(1+'Property Summary'!$I$18)^(DG$13-1))</f>
        <v>59113.26172788196</v>
      </c>
      <c r="DH16" s="102">
        <f>IF(OR($B5="",$B5=0),"",($G5*(DH$14&lt;$I5)+$H5*(DH$14&gt;=$I5))*$C5*(1+'Property Summary'!$I$18)^(DH$13-1))</f>
        <v>59113.26172788196</v>
      </c>
      <c r="DI16" s="102">
        <f>IF(OR($B5="",$B5=0),"",($G5*(DI$14&lt;$I5)+$H5*(DI$14&gt;=$I5))*$C5*(1+'Property Summary'!$I$18)^(DI$13-1))</f>
        <v>59113.26172788196</v>
      </c>
      <c r="DJ16" s="102">
        <f>IF(OR($B5="",$B5=0),"",($G5*(DJ$14&lt;$I5)+$H5*(DJ$14&gt;=$I5))*$C5*(1+'Property Summary'!$I$18)^(DJ$13-1))</f>
        <v>59113.26172788196</v>
      </c>
      <c r="DK16" s="102">
        <f>IF(OR($B5="",$B5=0),"",($G5*(DK$14&lt;$I5)+$H5*(DK$14&gt;=$I5))*$C5*(1+'Property Summary'!$I$18)^(DK$13-1))</f>
        <v>59113.26172788196</v>
      </c>
      <c r="DL16" s="102">
        <f>IF(OR($B5="",$B5=0),"",($G5*(DL$14&lt;$I5)+$H5*(DL$14&gt;=$I5))*$C5*(1+'Property Summary'!$I$18)^(DL$13-1))</f>
        <v>59113.26172788196</v>
      </c>
      <c r="DM16" s="102">
        <f>IF(OR($B5="",$B5=0),"",($G5*(DM$14&lt;$I5)+$H5*(DM$14&gt;=$I5))*$C5*(1+'Property Summary'!$I$18)^(DM$13-1))</f>
        <v>59113.26172788196</v>
      </c>
      <c r="DN16" s="102">
        <f>IF(OR($B5="",$B5=0),"",($G5*(DN$14&lt;$I5)+$H5*(DN$14&gt;=$I5))*$C5*(1+'Property Summary'!$I$18)^(DN$13-1))</f>
        <v>59113.26172788196</v>
      </c>
      <c r="DO16" s="102">
        <f>IF(OR($B5="",$B5=0),"",($G5*(DO$14&lt;$I5)+$H5*(DO$14&gt;=$I5))*$C5*(1+'Property Summary'!$I$18)^(DO$13-1))</f>
        <v>59113.26172788196</v>
      </c>
      <c r="DP16" s="102">
        <f>IF(OR($B5="",$B5=0),"",($G5*(DP$14&lt;$I5)+$H5*(DP$14&gt;=$I5))*$C5*(1+'Property Summary'!$I$18)^(DP$13-1))</f>
        <v>59113.26172788196</v>
      </c>
      <c r="DQ16" s="102">
        <f>IF(OR($B5="",$B5=0),"",($G5*(DQ$14&lt;$I5)+$H5*(DQ$14&gt;=$I5))*$C5*(1+'Property Summary'!$I$18)^(DQ$13-1))</f>
        <v>59113.26172788196</v>
      </c>
      <c r="DR16" s="102">
        <f>IF(OR($B5="",$B5=0),"",($G5*(DR$14&lt;$I5)+$H5*(DR$14&gt;=$I5))*$C5*(1+'Property Summary'!$I$18)^(DR$13-1))</f>
        <v>59113.26172788196</v>
      </c>
      <c r="DS16" s="102">
        <f>IF(OR($B5="",$B5=0),"",($G5*(DS$14&lt;$I5)+$H5*(DS$14&gt;=$I5))*$C5*(1+'Property Summary'!$I$18)^(DS$13-1))</f>
        <v>59999.960653800183</v>
      </c>
      <c r="DT16" s="102">
        <f>IF(OR($B5="",$B5=0),"",($G5*(DT$14&lt;$I5)+$H5*(DT$14&gt;=$I5))*$C5*(1+'Property Summary'!$I$18)^(DT$13-1))</f>
        <v>59999.960653800183</v>
      </c>
      <c r="DU16" s="102">
        <f>IF(OR($B5="",$B5=0),"",($G5*(DU$14&lt;$I5)+$H5*(DU$14&gt;=$I5))*$C5*(1+'Property Summary'!$I$18)^(DU$13-1))</f>
        <v>59999.960653800183</v>
      </c>
      <c r="DV16" s="102">
        <f>IF(OR($B5="",$B5=0),"",($G5*(DV$14&lt;$I5)+$H5*(DV$14&gt;=$I5))*$C5*(1+'Property Summary'!$I$18)^(DV$13-1))</f>
        <v>59999.960653800183</v>
      </c>
      <c r="DW16" s="102">
        <f>IF(OR($B5="",$B5=0),"",($G5*(DW$14&lt;$I5)+$H5*(DW$14&gt;=$I5))*$C5*(1+'Property Summary'!$I$18)^(DW$13-1))</f>
        <v>59999.960653800183</v>
      </c>
      <c r="DX16" s="102">
        <f>IF(OR($B5="",$B5=0),"",($G5*(DX$14&lt;$I5)+$H5*(DX$14&gt;=$I5))*$C5*(1+'Property Summary'!$I$18)^(DX$13-1))</f>
        <v>59999.960653800183</v>
      </c>
      <c r="DY16" s="102">
        <f>IF(OR($B5="",$B5=0),"",($G5*(DY$14&lt;$I5)+$H5*(DY$14&gt;=$I5))*$C5*(1+'Property Summary'!$I$18)^(DY$13-1))</f>
        <v>59999.960653800183</v>
      </c>
      <c r="DZ16" s="102">
        <f>IF(OR($B5="",$B5=0),"",($G5*(DZ$14&lt;$I5)+$H5*(DZ$14&gt;=$I5))*$C5*(1+'Property Summary'!$I$18)^(DZ$13-1))</f>
        <v>59999.960653800183</v>
      </c>
      <c r="EA16" s="102">
        <f>IF(OR($B5="",$B5=0),"",($G5*(EA$14&lt;$I5)+$H5*(EA$14&gt;=$I5))*$C5*(1+'Property Summary'!$I$18)^(EA$13-1))</f>
        <v>59999.960653800183</v>
      </c>
      <c r="EB16" s="102">
        <f>IF(OR($B5="",$B5=0),"",($G5*(EB$14&lt;$I5)+$H5*(EB$14&gt;=$I5))*$C5*(1+'Property Summary'!$I$18)^(EB$13-1))</f>
        <v>59999.960653800183</v>
      </c>
      <c r="EC16" s="102">
        <f>IF(OR($B5="",$B5=0),"",($G5*(EC$14&lt;$I5)+$H5*(EC$14&gt;=$I5))*$C5*(1+'Property Summary'!$I$18)^(EC$13-1))</f>
        <v>59999.960653800183</v>
      </c>
      <c r="ED16" s="102">
        <f>IF(OR($B5="",$B5=0),"",($G5*(ED$14&lt;$I5)+$H5*(ED$14&gt;=$I5))*$C5*(1+'Property Summary'!$I$18)^(ED$13-1))</f>
        <v>59999.960653800183</v>
      </c>
      <c r="EE16" s="102">
        <f>IF(OR($B5="",$B5=0),"",($G5*(EE$14&lt;$I5)+$H5*(EE$14&gt;=$I5))*$C5*(1+'Property Summary'!$I$18)^(EE$13-1))</f>
        <v>60899.960063607177</v>
      </c>
      <c r="EF16" s="102">
        <f>IF(OR($B5="",$B5=0),"",($G5*(EF$14&lt;$I5)+$H5*(EF$14&gt;=$I5))*$C5*(1+'Property Summary'!$I$18)^(EF$13-1))</f>
        <v>60899.960063607177</v>
      </c>
      <c r="EG16" s="102">
        <f>IF(OR($B5="",$B5=0),"",($G5*(EG$14&lt;$I5)+$H5*(EG$14&gt;=$I5))*$C5*(1+'Property Summary'!$I$18)^(EG$13-1))</f>
        <v>60899.960063607177</v>
      </c>
      <c r="EH16" s="102">
        <f>IF(OR($B5="",$B5=0),"",($G5*(EH$14&lt;$I5)+$H5*(EH$14&gt;=$I5))*$C5*(1+'Property Summary'!$I$18)^(EH$13-1))</f>
        <v>60899.960063607177</v>
      </c>
      <c r="EI16" s="102">
        <f>IF(OR($B5="",$B5=0),"",($G5*(EI$14&lt;$I5)+$H5*(EI$14&gt;=$I5))*$C5*(1+'Property Summary'!$I$18)^(EI$13-1))</f>
        <v>60899.960063607177</v>
      </c>
      <c r="EJ16" s="102">
        <f>IF(OR($B5="",$B5=0),"",($G5*(EJ$14&lt;$I5)+$H5*(EJ$14&gt;=$I5))*$C5*(1+'Property Summary'!$I$18)^(EJ$13-1))</f>
        <v>60899.960063607177</v>
      </c>
      <c r="EK16" s="102">
        <f>IF(OR($B5="",$B5=0),"",($G5*(EK$14&lt;$I5)+$H5*(EK$14&gt;=$I5))*$C5*(1+'Property Summary'!$I$18)^(EK$13-1))</f>
        <v>60899.960063607177</v>
      </c>
      <c r="EL16" s="102">
        <f>IF(OR($B5="",$B5=0),"",($G5*(EL$14&lt;$I5)+$H5*(EL$14&gt;=$I5))*$C5*(1+'Property Summary'!$I$18)^(EL$13-1))</f>
        <v>60899.960063607177</v>
      </c>
      <c r="EM16" s="102">
        <f>IF(OR($B5="",$B5=0),"",($G5*(EM$14&lt;$I5)+$H5*(EM$14&gt;=$I5))*$C5*(1+'Property Summary'!$I$18)^(EM$13-1))</f>
        <v>60899.960063607177</v>
      </c>
      <c r="EN16" s="102">
        <f>IF(OR($B5="",$B5=0),"",($G5*(EN$14&lt;$I5)+$H5*(EN$14&gt;=$I5))*$C5*(1+'Property Summary'!$I$18)^(EN$13-1))</f>
        <v>60899.960063607177</v>
      </c>
      <c r="EO16" s="102">
        <f>IF(OR($B5="",$B5=0),"",($G5*(EO$14&lt;$I5)+$H5*(EO$14&gt;=$I5))*$C5*(1+'Property Summary'!$I$18)^(EO$13-1))</f>
        <v>60899.960063607177</v>
      </c>
      <c r="EP16" s="102">
        <f>IF(OR($B5="",$B5=0),"",($G5*(EP$14&lt;$I5)+$H5*(EP$14&gt;=$I5))*$C5*(1+'Property Summary'!$I$18)^(EP$13-1))</f>
        <v>60899.960063607177</v>
      </c>
      <c r="EQ16" s="102">
        <f>IF(OR($B5="",$B5=0),"",($G5*(EQ$14&lt;$I5)+$H5*(EQ$14&gt;=$I5))*$C5*(1+'Property Summary'!$I$18)^(EQ$13-1))</f>
        <v>61813.459464561267</v>
      </c>
      <c r="ER16" s="102">
        <f>IF(OR($B5="",$B5=0),"",($G5*(ER$14&lt;$I5)+$H5*(ER$14&gt;=$I5))*$C5*(1+'Property Summary'!$I$18)^(ER$13-1))</f>
        <v>61813.459464561267</v>
      </c>
      <c r="ES16" s="102">
        <f>IF(OR($B5="",$B5=0),"",($G5*(ES$14&lt;$I5)+$H5*(ES$14&gt;=$I5))*$C5*(1+'Property Summary'!$I$18)^(ES$13-1))</f>
        <v>61813.459464561267</v>
      </c>
      <c r="ET16" s="102">
        <f>IF(OR($B5="",$B5=0),"",($G5*(ET$14&lt;$I5)+$H5*(ET$14&gt;=$I5))*$C5*(1+'Property Summary'!$I$18)^(ET$13-1))</f>
        <v>61813.459464561267</v>
      </c>
      <c r="EU16" s="102">
        <f>IF(OR($B5="",$B5=0),"",($G5*(EU$14&lt;$I5)+$H5*(EU$14&gt;=$I5))*$C5*(1+'Property Summary'!$I$18)^(EU$13-1))</f>
        <v>61813.459464561267</v>
      </c>
      <c r="EV16" s="102">
        <f>IF(OR($B5="",$B5=0),"",($G5*(EV$14&lt;$I5)+$H5*(EV$14&gt;=$I5))*$C5*(1+'Property Summary'!$I$18)^(EV$13-1))</f>
        <v>61813.459464561267</v>
      </c>
      <c r="EW16" s="102">
        <f>IF(OR($B5="",$B5=0),"",($G5*(EW$14&lt;$I5)+$H5*(EW$14&gt;=$I5))*$C5*(1+'Property Summary'!$I$18)^(EW$13-1))</f>
        <v>61813.459464561267</v>
      </c>
      <c r="EX16" s="102">
        <f>IF(OR($B5="",$B5=0),"",($G5*(EX$14&lt;$I5)+$H5*(EX$14&gt;=$I5))*$C5*(1+'Property Summary'!$I$18)^(EX$13-1))</f>
        <v>61813.459464561267</v>
      </c>
      <c r="EY16" s="102">
        <f>IF(OR($B5="",$B5=0),"",($G5*(EY$14&lt;$I5)+$H5*(EY$14&gt;=$I5))*$C5*(1+'Property Summary'!$I$18)^(EY$13-1))</f>
        <v>61813.459464561267</v>
      </c>
      <c r="EZ16" s="102">
        <f>IF(OR($B5="",$B5=0),"",($G5*(EZ$14&lt;$I5)+$H5*(EZ$14&gt;=$I5))*$C5*(1+'Property Summary'!$I$18)^(EZ$13-1))</f>
        <v>61813.459464561267</v>
      </c>
      <c r="FA16" s="102">
        <f>IF(OR($B5="",$B5=0),"",($G5*(FA$14&lt;$I5)+$H5*(FA$14&gt;=$I5))*$C5*(1+'Property Summary'!$I$18)^(FA$13-1))</f>
        <v>61813.459464561267</v>
      </c>
      <c r="FB16" s="102">
        <f>IF(OR($B5="",$B5=0),"",($G5*(FB$14&lt;$I5)+$H5*(FB$14&gt;=$I5))*$C5*(1+'Property Summary'!$I$18)^(FB$13-1))</f>
        <v>61813.459464561267</v>
      </c>
      <c r="FC16" s="102">
        <f>IF(OR($B5="",$B5=0),"",($G5*(FC$14&lt;$I5)+$H5*(FC$14&gt;=$I5))*$C5*(1+'Property Summary'!$I$18)^(FC$13-1))</f>
        <v>62740.661356529687</v>
      </c>
      <c r="FD16" s="102">
        <f>IF(OR($B5="",$B5=0),"",($G5*(FD$14&lt;$I5)+$H5*(FD$14&gt;=$I5))*$C5*(1+'Property Summary'!$I$18)^(FD$13-1))</f>
        <v>62740.661356529687</v>
      </c>
      <c r="FE16" s="102">
        <f>IF(OR($B5="",$B5=0),"",($G5*(FE$14&lt;$I5)+$H5*(FE$14&gt;=$I5))*$C5*(1+'Property Summary'!$I$18)^(FE$13-1))</f>
        <v>62740.661356529687</v>
      </c>
      <c r="FF16" s="102">
        <f>IF(OR($B5="",$B5=0),"",($G5*(FF$14&lt;$I5)+$H5*(FF$14&gt;=$I5))*$C5*(1+'Property Summary'!$I$18)^(FF$13-1))</f>
        <v>62740.661356529687</v>
      </c>
      <c r="FG16" s="102">
        <f>IF(OR($B5="",$B5=0),"",($G5*(FG$14&lt;$I5)+$H5*(FG$14&gt;=$I5))*$C5*(1+'Property Summary'!$I$18)^(FG$13-1))</f>
        <v>62740.661356529687</v>
      </c>
      <c r="FH16" s="102">
        <f>IF(OR($B5="",$B5=0),"",($G5*(FH$14&lt;$I5)+$H5*(FH$14&gt;=$I5))*$C5*(1+'Property Summary'!$I$18)^(FH$13-1))</f>
        <v>62740.661356529687</v>
      </c>
      <c r="FI16" s="102">
        <f>IF(OR($B5="",$B5=0),"",($G5*(FI$14&lt;$I5)+$H5*(FI$14&gt;=$I5))*$C5*(1+'Property Summary'!$I$18)^(FI$13-1))</f>
        <v>62740.661356529687</v>
      </c>
      <c r="FJ16" s="102">
        <f>IF(OR($B5="",$B5=0),"",($G5*(FJ$14&lt;$I5)+$H5*(FJ$14&gt;=$I5))*$C5*(1+'Property Summary'!$I$18)^(FJ$13-1))</f>
        <v>62740.661356529687</v>
      </c>
      <c r="FK16" s="102">
        <f>IF(OR($B5="",$B5=0),"",($G5*(FK$14&lt;$I5)+$H5*(FK$14&gt;=$I5))*$C5*(1+'Property Summary'!$I$18)^(FK$13-1))</f>
        <v>62740.661356529687</v>
      </c>
      <c r="FL16" s="102">
        <f>IF(OR($B5="",$B5=0),"",($G5*(FL$14&lt;$I5)+$H5*(FL$14&gt;=$I5))*$C5*(1+'Property Summary'!$I$18)^(FL$13-1))</f>
        <v>62740.661356529687</v>
      </c>
      <c r="FM16" s="102">
        <f>IF(OR($B5="",$B5=0),"",($G5*(FM$14&lt;$I5)+$H5*(FM$14&gt;=$I5))*$C5*(1+'Property Summary'!$I$18)^(FM$13-1))</f>
        <v>62740.661356529687</v>
      </c>
      <c r="FN16" s="102">
        <f>IF(OR($B5="",$B5=0),"",($G5*(FN$14&lt;$I5)+$H5*(FN$14&gt;=$I5))*$C5*(1+'Property Summary'!$I$18)^(FN$13-1))</f>
        <v>62740.661356529687</v>
      </c>
      <c r="FO16" s="102">
        <f>IF(OR($B5="",$B5=0),"",($G5*(FO$14&lt;$I5)+$H5*(FO$14&gt;=$I5))*$C5*(1+'Property Summary'!$I$18)^(FO$13-1))</f>
        <v>63681.771276877611</v>
      </c>
      <c r="FP16" s="102">
        <f>IF(OR($B5="",$B5=0),"",($G5*(FP$14&lt;$I5)+$H5*(FP$14&gt;=$I5))*$C5*(1+'Property Summary'!$I$18)^(FP$13-1))</f>
        <v>63681.771276877611</v>
      </c>
      <c r="FQ16" s="102">
        <f>IF(OR($B5="",$B5=0),"",($G5*(FQ$14&lt;$I5)+$H5*(FQ$14&gt;=$I5))*$C5*(1+'Property Summary'!$I$18)^(FQ$13-1))</f>
        <v>63681.771276877611</v>
      </c>
      <c r="FR16" s="102">
        <f>IF(OR($B5="",$B5=0),"",($G5*(FR$14&lt;$I5)+$H5*(FR$14&gt;=$I5))*$C5*(1+'Property Summary'!$I$18)^(FR$13-1))</f>
        <v>63681.771276877611</v>
      </c>
      <c r="FS16" s="102">
        <f>IF(OR($B5="",$B5=0),"",($G5*(FS$14&lt;$I5)+$H5*(FS$14&gt;=$I5))*$C5*(1+'Property Summary'!$I$18)^(FS$13-1))</f>
        <v>63681.771276877611</v>
      </c>
      <c r="FT16" s="102">
        <f>IF(OR($B5="",$B5=0),"",($G5*(FT$14&lt;$I5)+$H5*(FT$14&gt;=$I5))*$C5*(1+'Property Summary'!$I$18)^(FT$13-1))</f>
        <v>63681.771276877611</v>
      </c>
      <c r="FU16" s="102">
        <f>IF(OR($B5="",$B5=0),"",($G5*(FU$14&lt;$I5)+$H5*(FU$14&gt;=$I5))*$C5*(1+'Property Summary'!$I$18)^(FU$13-1))</f>
        <v>63681.771276877611</v>
      </c>
      <c r="FV16" s="102">
        <f>IF(OR($B5="",$B5=0),"",($G5*(FV$14&lt;$I5)+$H5*(FV$14&gt;=$I5))*$C5*(1+'Property Summary'!$I$18)^(FV$13-1))</f>
        <v>63681.771276877611</v>
      </c>
      <c r="FW16" s="102">
        <f>IF(OR($B5="",$B5=0),"",($G5*(FW$14&lt;$I5)+$H5*(FW$14&gt;=$I5))*$C5*(1+'Property Summary'!$I$18)^(FW$13-1))</f>
        <v>63681.771276877611</v>
      </c>
      <c r="FX16" s="102">
        <f>IF(OR($B5="",$B5=0),"",($G5*(FX$14&lt;$I5)+$H5*(FX$14&gt;=$I5))*$C5*(1+'Property Summary'!$I$18)^(FX$13-1))</f>
        <v>63681.771276877611</v>
      </c>
      <c r="FY16" s="102">
        <f>IF(OR($B5="",$B5=0),"",($G5*(FY$14&lt;$I5)+$H5*(FY$14&gt;=$I5))*$C5*(1+'Property Summary'!$I$18)^(FY$13-1))</f>
        <v>63681.771276877611</v>
      </c>
      <c r="FZ16" s="103">
        <f>IF(OR($B5="",$B5=0),"",($G5*(FZ$14&lt;$I5)+$H5*(FZ$14&gt;=$I5))*$C5*(1+'Property Summary'!$I$18)^(FZ$13-1))</f>
        <v>63681.771276877611</v>
      </c>
    </row>
    <row r="17" spans="2:182" x14ac:dyDescent="0.2">
      <c r="B17" s="4"/>
      <c r="C17" s="102">
        <f>IF(OR($B6="",$B6=0),"",($G6*(C$14&lt;$I6)+$H6*(C$14&gt;=$I6))*$C6*(1+'Property Summary'!$I$18)^(C$13-1))</f>
        <v>56160</v>
      </c>
      <c r="D17" s="102">
        <f>IF(OR($B6="",$B6=0),"",($G6*(D$14&lt;$I6)+$H6*(D$14&gt;=$I6))*$C6*(1+'Property Summary'!$I$18)^(D$13-1))</f>
        <v>56160</v>
      </c>
      <c r="E17" s="102">
        <f>IF(OR($B6="",$B6=0),"",($G6*(E$14&lt;$I6)+$H6*(E$14&gt;=$I6))*$C6*(1+'Property Summary'!$I$18)^(E$13-1))</f>
        <v>56160</v>
      </c>
      <c r="F17" s="102">
        <f>IF(OR($B6="",$B6=0),"",($G6*(F$14&lt;$I6)+$H6*(F$14&gt;=$I6))*$C6*(1+'Property Summary'!$I$18)^(F$13-1))</f>
        <v>56160</v>
      </c>
      <c r="G17" s="102">
        <f>IF(OR($B6="",$B6=0),"",($G6*(G$14&lt;$I6)+$H6*(G$14&gt;=$I6))*$C6*(1+'Property Summary'!$I$18)^(G$13-1))</f>
        <v>56160</v>
      </c>
      <c r="H17" s="102">
        <f>IF(OR($B6="",$B6=0),"",($G6*(H$14&lt;$I6)+$H6*(H$14&gt;=$I6))*$C6*(1+'Property Summary'!$I$18)^(H$13-1))</f>
        <v>56160</v>
      </c>
      <c r="I17" s="102">
        <f>IF(OR($B6="",$B6=0),"",($G6*(I$14&lt;$I6)+$H6*(I$14&gt;=$I6))*$C6*(1+'Property Summary'!$I$18)^(I$13-1))</f>
        <v>56160</v>
      </c>
      <c r="J17" s="102">
        <f>IF(OR($B6="",$B6=0),"",($G6*(J$14&lt;$I6)+$H6*(J$14&gt;=$I6))*$C6*(1+'Property Summary'!$I$18)^(J$13-1))</f>
        <v>56160</v>
      </c>
      <c r="K17" s="102">
        <f>IF(OR($B6="",$B6=0),"",($G6*(K$14&lt;$I6)+$H6*(K$14&gt;=$I6))*$C6*(1+'Property Summary'!$I$18)^(K$13-1))</f>
        <v>56160</v>
      </c>
      <c r="L17" s="102">
        <f>IF(OR($B6="",$B6=0),"",($G6*(L$14&lt;$I6)+$H6*(L$14&gt;=$I6))*$C6*(1+'Property Summary'!$I$18)^(L$13-1))</f>
        <v>56160</v>
      </c>
      <c r="M17" s="102">
        <f>IF(OR($B6="",$B6=0),"",($G6*(M$14&lt;$I6)+$H6*(M$14&gt;=$I6))*$C6*(1+'Property Summary'!$I$18)^(M$13-1))</f>
        <v>56160</v>
      </c>
      <c r="N17" s="102">
        <f>IF(OR($B6="",$B6=0),"",($G6*(N$14&lt;$I6)+$H6*(N$14&gt;=$I6))*$C6*(1+'Property Summary'!$I$18)^(N$13-1))</f>
        <v>56160</v>
      </c>
      <c r="O17" s="102">
        <f>IF(OR($B6="",$B6=0),"",($G6*(O$14&lt;$I6)+$H6*(O$14&gt;=$I6))*$C6*(1+'Property Summary'!$I$18)^(O$13-1))</f>
        <v>57002.399999999994</v>
      </c>
      <c r="P17" s="102">
        <f>IF(OR($B6="",$B6=0),"",($G6*(P$14&lt;$I6)+$H6*(P$14&gt;=$I6))*$C6*(1+'Property Summary'!$I$18)^(P$13-1))</f>
        <v>57002.399999999994</v>
      </c>
      <c r="Q17" s="102">
        <f>IF(OR($B6="",$B6=0),"",($G6*(Q$14&lt;$I6)+$H6*(Q$14&gt;=$I6))*$C6*(1+'Property Summary'!$I$18)^(Q$13-1))</f>
        <v>57002.399999999994</v>
      </c>
      <c r="R17" s="102">
        <f>IF(OR($B6="",$B6=0),"",($G6*(R$14&lt;$I6)+$H6*(R$14&gt;=$I6))*$C6*(1+'Property Summary'!$I$18)^(R$13-1))</f>
        <v>60899.999999999993</v>
      </c>
      <c r="S17" s="102">
        <f>IF(OR($B6="",$B6=0),"",($G6*(S$14&lt;$I6)+$H6*(S$14&gt;=$I6))*$C6*(1+'Property Summary'!$I$18)^(S$13-1))</f>
        <v>60899.999999999993</v>
      </c>
      <c r="T17" s="102">
        <f>IF(OR($B6="",$B6=0),"",($G6*(T$14&lt;$I6)+$H6*(T$14&gt;=$I6))*$C6*(1+'Property Summary'!$I$18)^(T$13-1))</f>
        <v>60899.999999999993</v>
      </c>
      <c r="U17" s="102">
        <f>IF(OR($B6="",$B6=0),"",($G6*(U$14&lt;$I6)+$H6*(U$14&gt;=$I6))*$C6*(1+'Property Summary'!$I$18)^(U$13-1))</f>
        <v>60899.999999999993</v>
      </c>
      <c r="V17" s="102">
        <f>IF(OR($B6="",$B6=0),"",($G6*(V$14&lt;$I6)+$H6*(V$14&gt;=$I6))*$C6*(1+'Property Summary'!$I$18)^(V$13-1))</f>
        <v>60899.999999999993</v>
      </c>
      <c r="W17" s="102">
        <f>IF(OR($B6="",$B6=0),"",($G6*(W$14&lt;$I6)+$H6*(W$14&gt;=$I6))*$C6*(1+'Property Summary'!$I$18)^(W$13-1))</f>
        <v>60899.999999999993</v>
      </c>
      <c r="X17" s="102">
        <f>IF(OR($B6="",$B6=0),"",($G6*(X$14&lt;$I6)+$H6*(X$14&gt;=$I6))*$C6*(1+'Property Summary'!$I$18)^(X$13-1))</f>
        <v>60899.999999999993</v>
      </c>
      <c r="Y17" s="102">
        <f>IF(OR($B6="",$B6=0),"",($G6*(Y$14&lt;$I6)+$H6*(Y$14&gt;=$I6))*$C6*(1+'Property Summary'!$I$18)^(Y$13-1))</f>
        <v>60899.999999999993</v>
      </c>
      <c r="Z17" s="102">
        <f>IF(OR($B6="",$B6=0),"",($G6*(Z$14&lt;$I6)+$H6*(Z$14&gt;=$I6))*$C6*(1+'Property Summary'!$I$18)^(Z$13-1))</f>
        <v>60899.999999999993</v>
      </c>
      <c r="AA17" s="102">
        <f>IF(OR($B6="",$B6=0),"",($G6*(AA$14&lt;$I6)+$H6*(AA$14&gt;=$I6))*$C6*(1+'Property Summary'!$I$18)^(AA$13-1))</f>
        <v>61813.499999999985</v>
      </c>
      <c r="AB17" s="102">
        <f>IF(OR($B6="",$B6=0),"",($G6*(AB$14&lt;$I6)+$H6*(AB$14&gt;=$I6))*$C6*(1+'Property Summary'!$I$18)^(AB$13-1))</f>
        <v>61813.499999999985</v>
      </c>
      <c r="AC17" s="102">
        <f>IF(OR($B6="",$B6=0),"",($G6*(AC$14&lt;$I6)+$H6*(AC$14&gt;=$I6))*$C6*(1+'Property Summary'!$I$18)^(AC$13-1))</f>
        <v>61813.499999999985</v>
      </c>
      <c r="AD17" s="102">
        <f>IF(OR($B6="",$B6=0),"",($G6*(AD$14&lt;$I6)+$H6*(AD$14&gt;=$I6))*$C6*(1+'Property Summary'!$I$18)^(AD$13-1))</f>
        <v>61813.499999999985</v>
      </c>
      <c r="AE17" s="102">
        <f>IF(OR($B6="",$B6=0),"",($G6*(AE$14&lt;$I6)+$H6*(AE$14&gt;=$I6))*$C6*(1+'Property Summary'!$I$18)^(AE$13-1))</f>
        <v>61813.499999999985</v>
      </c>
      <c r="AF17" s="102">
        <f>IF(OR($B6="",$B6=0),"",($G6*(AF$14&lt;$I6)+$H6*(AF$14&gt;=$I6))*$C6*(1+'Property Summary'!$I$18)^(AF$13-1))</f>
        <v>61813.499999999985</v>
      </c>
      <c r="AG17" s="102">
        <f>IF(OR($B6="",$B6=0),"",($G6*(AG$14&lt;$I6)+$H6*(AG$14&gt;=$I6))*$C6*(1+'Property Summary'!$I$18)^(AG$13-1))</f>
        <v>61813.499999999985</v>
      </c>
      <c r="AH17" s="102">
        <f>IF(OR($B6="",$B6=0),"",($G6*(AH$14&lt;$I6)+$H6*(AH$14&gt;=$I6))*$C6*(1+'Property Summary'!$I$18)^(AH$13-1))</f>
        <v>61813.499999999985</v>
      </c>
      <c r="AI17" s="102">
        <f>IF(OR($B6="",$B6=0),"",($G6*(AI$14&lt;$I6)+$H6*(AI$14&gt;=$I6))*$C6*(1+'Property Summary'!$I$18)^(AI$13-1))</f>
        <v>61813.499999999985</v>
      </c>
      <c r="AJ17" s="102">
        <f>IF(OR($B6="",$B6=0),"",($G6*(AJ$14&lt;$I6)+$H6*(AJ$14&gt;=$I6))*$C6*(1+'Property Summary'!$I$18)^(AJ$13-1))</f>
        <v>61813.499999999985</v>
      </c>
      <c r="AK17" s="102">
        <f>IF(OR($B6="",$B6=0),"",($G6*(AK$14&lt;$I6)+$H6*(AK$14&gt;=$I6))*$C6*(1+'Property Summary'!$I$18)^(AK$13-1))</f>
        <v>61813.499999999985</v>
      </c>
      <c r="AL17" s="102">
        <f>IF(OR($B6="",$B6=0),"",($G6*(AL$14&lt;$I6)+$H6*(AL$14&gt;=$I6))*$C6*(1+'Property Summary'!$I$18)^(AL$13-1))</f>
        <v>61813.499999999985</v>
      </c>
      <c r="AM17" s="102">
        <f>IF(OR($B6="",$B6=0),"",($G6*(AM$14&lt;$I6)+$H6*(AM$14&gt;=$I6))*$C6*(1+'Property Summary'!$I$18)^(AM$13-1))</f>
        <v>62740.702499999978</v>
      </c>
      <c r="AN17" s="102">
        <f>IF(OR($B6="",$B6=0),"",($G6*(AN$14&lt;$I6)+$H6*(AN$14&gt;=$I6))*$C6*(1+'Property Summary'!$I$18)^(AN$13-1))</f>
        <v>62740.702499999978</v>
      </c>
      <c r="AO17" s="102">
        <f>IF(OR($B6="",$B6=0),"",($G6*(AO$14&lt;$I6)+$H6*(AO$14&gt;=$I6))*$C6*(1+'Property Summary'!$I$18)^(AO$13-1))</f>
        <v>62740.702499999978</v>
      </c>
      <c r="AP17" s="102">
        <f>IF(OR($B6="",$B6=0),"",($G6*(AP$14&lt;$I6)+$H6*(AP$14&gt;=$I6))*$C6*(1+'Property Summary'!$I$18)^(AP$13-1))</f>
        <v>62740.702499999978</v>
      </c>
      <c r="AQ17" s="102">
        <f>IF(OR($B6="",$B6=0),"",($G6*(AQ$14&lt;$I6)+$H6*(AQ$14&gt;=$I6))*$C6*(1+'Property Summary'!$I$18)^(AQ$13-1))</f>
        <v>62740.702499999978</v>
      </c>
      <c r="AR17" s="102">
        <f>IF(OR($B6="",$B6=0),"",($G6*(AR$14&lt;$I6)+$H6*(AR$14&gt;=$I6))*$C6*(1+'Property Summary'!$I$18)^(AR$13-1))</f>
        <v>62740.702499999978</v>
      </c>
      <c r="AS17" s="102">
        <f>IF(OR($B6="",$B6=0),"",($G6*(AS$14&lt;$I6)+$H6*(AS$14&gt;=$I6))*$C6*(1+'Property Summary'!$I$18)^(AS$13-1))</f>
        <v>62740.702499999978</v>
      </c>
      <c r="AT17" s="102">
        <f>IF(OR($B6="",$B6=0),"",($G6*(AT$14&lt;$I6)+$H6*(AT$14&gt;=$I6))*$C6*(1+'Property Summary'!$I$18)^(AT$13-1))</f>
        <v>62740.702499999978</v>
      </c>
      <c r="AU17" s="102">
        <f>IF(OR($B6="",$B6=0),"",($G6*(AU$14&lt;$I6)+$H6*(AU$14&gt;=$I6))*$C6*(1+'Property Summary'!$I$18)^(AU$13-1))</f>
        <v>62740.702499999978</v>
      </c>
      <c r="AV17" s="102">
        <f>IF(OR($B6="",$B6=0),"",($G6*(AV$14&lt;$I6)+$H6*(AV$14&gt;=$I6))*$C6*(1+'Property Summary'!$I$18)^(AV$13-1))</f>
        <v>62740.702499999978</v>
      </c>
      <c r="AW17" s="102">
        <f>IF(OR($B6="",$B6=0),"",($G6*(AW$14&lt;$I6)+$H6*(AW$14&gt;=$I6))*$C6*(1+'Property Summary'!$I$18)^(AW$13-1))</f>
        <v>62740.702499999978</v>
      </c>
      <c r="AX17" s="102">
        <f>IF(OR($B6="",$B6=0),"",($G6*(AX$14&lt;$I6)+$H6*(AX$14&gt;=$I6))*$C6*(1+'Property Summary'!$I$18)^(AX$13-1))</f>
        <v>62740.702499999978</v>
      </c>
      <c r="AY17" s="102">
        <f>IF(OR($B6="",$B6=0),"",($G6*(AY$14&lt;$I6)+$H6*(AY$14&gt;=$I6))*$C6*(1+'Property Summary'!$I$18)^(AY$13-1))</f>
        <v>63681.813037499967</v>
      </c>
      <c r="AZ17" s="102">
        <f>IF(OR($B6="",$B6=0),"",($G6*(AZ$14&lt;$I6)+$H6*(AZ$14&gt;=$I6))*$C6*(1+'Property Summary'!$I$18)^(AZ$13-1))</f>
        <v>63681.813037499967</v>
      </c>
      <c r="BA17" s="102">
        <f>IF(OR($B6="",$B6=0),"",($G6*(BA$14&lt;$I6)+$H6*(BA$14&gt;=$I6))*$C6*(1+'Property Summary'!$I$18)^(BA$13-1))</f>
        <v>63681.813037499967</v>
      </c>
      <c r="BB17" s="102">
        <f>IF(OR($B6="",$B6=0),"",($G6*(BB$14&lt;$I6)+$H6*(BB$14&gt;=$I6))*$C6*(1+'Property Summary'!$I$18)^(BB$13-1))</f>
        <v>63681.813037499967</v>
      </c>
      <c r="BC17" s="102">
        <f>IF(OR($B6="",$B6=0),"",($G6*(BC$14&lt;$I6)+$H6*(BC$14&gt;=$I6))*$C6*(1+'Property Summary'!$I$18)^(BC$13-1))</f>
        <v>63681.813037499967</v>
      </c>
      <c r="BD17" s="102">
        <f>IF(OR($B6="",$B6=0),"",($G6*(BD$14&lt;$I6)+$H6*(BD$14&gt;=$I6))*$C6*(1+'Property Summary'!$I$18)^(BD$13-1))</f>
        <v>63681.813037499967</v>
      </c>
      <c r="BE17" s="102">
        <f>IF(OR($B6="",$B6=0),"",($G6*(BE$14&lt;$I6)+$H6*(BE$14&gt;=$I6))*$C6*(1+'Property Summary'!$I$18)^(BE$13-1))</f>
        <v>63681.813037499967</v>
      </c>
      <c r="BF17" s="102">
        <f>IF(OR($B6="",$B6=0),"",($G6*(BF$14&lt;$I6)+$H6*(BF$14&gt;=$I6))*$C6*(1+'Property Summary'!$I$18)^(BF$13-1))</f>
        <v>63681.813037499967</v>
      </c>
      <c r="BG17" s="102">
        <f>IF(OR($B6="",$B6=0),"",($G6*(BG$14&lt;$I6)+$H6*(BG$14&gt;=$I6))*$C6*(1+'Property Summary'!$I$18)^(BG$13-1))</f>
        <v>63681.813037499967</v>
      </c>
      <c r="BH17" s="102">
        <f>IF(OR($B6="",$B6=0),"",($G6*(BH$14&lt;$I6)+$H6*(BH$14&gt;=$I6))*$C6*(1+'Property Summary'!$I$18)^(BH$13-1))</f>
        <v>63681.813037499967</v>
      </c>
      <c r="BI17" s="102">
        <f>IF(OR($B6="",$B6=0),"",($G6*(BI$14&lt;$I6)+$H6*(BI$14&gt;=$I6))*$C6*(1+'Property Summary'!$I$18)^(BI$13-1))</f>
        <v>63681.813037499967</v>
      </c>
      <c r="BJ17" s="102">
        <f>IF(OR($B6="",$B6=0),"",($G6*(BJ$14&lt;$I6)+$H6*(BJ$14&gt;=$I6))*$C6*(1+'Property Summary'!$I$18)^(BJ$13-1))</f>
        <v>63681.813037499967</v>
      </c>
      <c r="BK17" s="102">
        <f>IF(OR($B6="",$B6=0),"",($G6*(BK$14&lt;$I6)+$H6*(BK$14&gt;=$I6))*$C6*(1+'Property Summary'!$I$18)^(BK$13-1))</f>
        <v>64637.040233062457</v>
      </c>
      <c r="BL17" s="102">
        <f>IF(OR($B6="",$B6=0),"",($G6*(BL$14&lt;$I6)+$H6*(BL$14&gt;=$I6))*$C6*(1+'Property Summary'!$I$18)^(BL$13-1))</f>
        <v>64637.040233062457</v>
      </c>
      <c r="BM17" s="102">
        <f>IF(OR($B6="",$B6=0),"",($G6*(BM$14&lt;$I6)+$H6*(BM$14&gt;=$I6))*$C6*(1+'Property Summary'!$I$18)^(BM$13-1))</f>
        <v>64637.040233062457</v>
      </c>
      <c r="BN17" s="102">
        <f>IF(OR($B6="",$B6=0),"",($G6*(BN$14&lt;$I6)+$H6*(BN$14&gt;=$I6))*$C6*(1+'Property Summary'!$I$18)^(BN$13-1))</f>
        <v>64637.040233062457</v>
      </c>
      <c r="BO17" s="102">
        <f>IF(OR($B6="",$B6=0),"",($G6*(BO$14&lt;$I6)+$H6*(BO$14&gt;=$I6))*$C6*(1+'Property Summary'!$I$18)^(BO$13-1))</f>
        <v>64637.040233062457</v>
      </c>
      <c r="BP17" s="102">
        <f>IF(OR($B6="",$B6=0),"",($G6*(BP$14&lt;$I6)+$H6*(BP$14&gt;=$I6))*$C6*(1+'Property Summary'!$I$18)^(BP$13-1))</f>
        <v>64637.040233062457</v>
      </c>
      <c r="BQ17" s="102">
        <f>IF(OR($B6="",$B6=0),"",($G6*(BQ$14&lt;$I6)+$H6*(BQ$14&gt;=$I6))*$C6*(1+'Property Summary'!$I$18)^(BQ$13-1))</f>
        <v>64637.040233062457</v>
      </c>
      <c r="BR17" s="102">
        <f>IF(OR($B6="",$B6=0),"",($G6*(BR$14&lt;$I6)+$H6*(BR$14&gt;=$I6))*$C6*(1+'Property Summary'!$I$18)^(BR$13-1))</f>
        <v>64637.040233062457</v>
      </c>
      <c r="BS17" s="102">
        <f>IF(OR($B6="",$B6=0),"",($G6*(BS$14&lt;$I6)+$H6*(BS$14&gt;=$I6))*$C6*(1+'Property Summary'!$I$18)^(BS$13-1))</f>
        <v>64637.040233062457</v>
      </c>
      <c r="BT17" s="102">
        <f>IF(OR($B6="",$B6=0),"",($G6*(BT$14&lt;$I6)+$H6*(BT$14&gt;=$I6))*$C6*(1+'Property Summary'!$I$18)^(BT$13-1))</f>
        <v>64637.040233062457</v>
      </c>
      <c r="BU17" s="102">
        <f>IF(OR($B6="",$B6=0),"",($G6*(BU$14&lt;$I6)+$H6*(BU$14&gt;=$I6))*$C6*(1+'Property Summary'!$I$18)^(BU$13-1))</f>
        <v>64637.040233062457</v>
      </c>
      <c r="BV17" s="102">
        <f>IF(OR($B6="",$B6=0),"",($G6*(BV$14&lt;$I6)+$H6*(BV$14&gt;=$I6))*$C6*(1+'Property Summary'!$I$18)^(BV$13-1))</f>
        <v>64637.040233062457</v>
      </c>
      <c r="BW17" s="102">
        <f>IF(OR($B6="",$B6=0),"",($G6*(BW$14&lt;$I6)+$H6*(BW$14&gt;=$I6))*$C6*(1+'Property Summary'!$I$18)^(BW$13-1))</f>
        <v>65606.595836558379</v>
      </c>
      <c r="BX17" s="102">
        <f>IF(OR($B6="",$B6=0),"",($G6*(BX$14&lt;$I6)+$H6*(BX$14&gt;=$I6))*$C6*(1+'Property Summary'!$I$18)^(BX$13-1))</f>
        <v>65606.595836558379</v>
      </c>
      <c r="BY17" s="102">
        <f>IF(OR($B6="",$B6=0),"",($G6*(BY$14&lt;$I6)+$H6*(BY$14&gt;=$I6))*$C6*(1+'Property Summary'!$I$18)^(BY$13-1))</f>
        <v>65606.595836558379</v>
      </c>
      <c r="BZ17" s="102">
        <f>IF(OR($B6="",$B6=0),"",($G6*(BZ$14&lt;$I6)+$H6*(BZ$14&gt;=$I6))*$C6*(1+'Property Summary'!$I$18)^(BZ$13-1))</f>
        <v>65606.595836558379</v>
      </c>
      <c r="CA17" s="102">
        <f>IF(OR($B6="",$B6=0),"",($G6*(CA$14&lt;$I6)+$H6*(CA$14&gt;=$I6))*$C6*(1+'Property Summary'!$I$18)^(CA$13-1))</f>
        <v>65606.595836558379</v>
      </c>
      <c r="CB17" s="102">
        <f>IF(OR($B6="",$B6=0),"",($G6*(CB$14&lt;$I6)+$H6*(CB$14&gt;=$I6))*$C6*(1+'Property Summary'!$I$18)^(CB$13-1))</f>
        <v>65606.595836558379</v>
      </c>
      <c r="CC17" s="102">
        <f>IF(OR($B6="",$B6=0),"",($G6*(CC$14&lt;$I6)+$H6*(CC$14&gt;=$I6))*$C6*(1+'Property Summary'!$I$18)^(CC$13-1))</f>
        <v>65606.595836558379</v>
      </c>
      <c r="CD17" s="102">
        <f>IF(OR($B6="",$B6=0),"",($G6*(CD$14&lt;$I6)+$H6*(CD$14&gt;=$I6))*$C6*(1+'Property Summary'!$I$18)^(CD$13-1))</f>
        <v>65606.595836558379</v>
      </c>
      <c r="CE17" s="102">
        <f>IF(OR($B6="",$B6=0),"",($G6*(CE$14&lt;$I6)+$H6*(CE$14&gt;=$I6))*$C6*(1+'Property Summary'!$I$18)^(CE$13-1))</f>
        <v>65606.595836558379</v>
      </c>
      <c r="CF17" s="102">
        <f>IF(OR($B6="",$B6=0),"",($G6*(CF$14&lt;$I6)+$H6*(CF$14&gt;=$I6))*$C6*(1+'Property Summary'!$I$18)^(CF$13-1))</f>
        <v>65606.595836558379</v>
      </c>
      <c r="CG17" s="102">
        <f>IF(OR($B6="",$B6=0),"",($G6*(CG$14&lt;$I6)+$H6*(CG$14&gt;=$I6))*$C6*(1+'Property Summary'!$I$18)^(CG$13-1))</f>
        <v>65606.595836558379</v>
      </c>
      <c r="CH17" s="102">
        <f>IF(OR($B6="",$B6=0),"",($G6*(CH$14&lt;$I6)+$H6*(CH$14&gt;=$I6))*$C6*(1+'Property Summary'!$I$18)^(CH$13-1))</f>
        <v>65606.595836558379</v>
      </c>
      <c r="CI17" s="102">
        <f>IF(OR($B6="",$B6=0),"",($G6*(CI$14&lt;$I6)+$H6*(CI$14&gt;=$I6))*$C6*(1+'Property Summary'!$I$18)^(CI$13-1))</f>
        <v>66590.694774106742</v>
      </c>
      <c r="CJ17" s="102">
        <f>IF(OR($B6="",$B6=0),"",($G6*(CJ$14&lt;$I6)+$H6*(CJ$14&gt;=$I6))*$C6*(1+'Property Summary'!$I$18)^(CJ$13-1))</f>
        <v>66590.694774106742</v>
      </c>
      <c r="CK17" s="102">
        <f>IF(OR($B6="",$B6=0),"",($G6*(CK$14&lt;$I6)+$H6*(CK$14&gt;=$I6))*$C6*(1+'Property Summary'!$I$18)^(CK$13-1))</f>
        <v>66590.694774106742</v>
      </c>
      <c r="CL17" s="102">
        <f>IF(OR($B6="",$B6=0),"",($G6*(CL$14&lt;$I6)+$H6*(CL$14&gt;=$I6))*$C6*(1+'Property Summary'!$I$18)^(CL$13-1))</f>
        <v>66590.694774106742</v>
      </c>
      <c r="CM17" s="102">
        <f>IF(OR($B6="",$B6=0),"",($G6*(CM$14&lt;$I6)+$H6*(CM$14&gt;=$I6))*$C6*(1+'Property Summary'!$I$18)^(CM$13-1))</f>
        <v>66590.694774106742</v>
      </c>
      <c r="CN17" s="102">
        <f>IF(OR($B6="",$B6=0),"",($G6*(CN$14&lt;$I6)+$H6*(CN$14&gt;=$I6))*$C6*(1+'Property Summary'!$I$18)^(CN$13-1))</f>
        <v>66590.694774106742</v>
      </c>
      <c r="CO17" s="102">
        <f>IF(OR($B6="",$B6=0),"",($G6*(CO$14&lt;$I6)+$H6*(CO$14&gt;=$I6))*$C6*(1+'Property Summary'!$I$18)^(CO$13-1))</f>
        <v>66590.694774106742</v>
      </c>
      <c r="CP17" s="102">
        <f>IF(OR($B6="",$B6=0),"",($G6*(CP$14&lt;$I6)+$H6*(CP$14&gt;=$I6))*$C6*(1+'Property Summary'!$I$18)^(CP$13-1))</f>
        <v>66590.694774106742</v>
      </c>
      <c r="CQ17" s="102">
        <f>IF(OR($B6="",$B6=0),"",($G6*(CQ$14&lt;$I6)+$H6*(CQ$14&gt;=$I6))*$C6*(1+'Property Summary'!$I$18)^(CQ$13-1))</f>
        <v>66590.694774106742</v>
      </c>
      <c r="CR17" s="102">
        <f>IF(OR($B6="",$B6=0),"",($G6*(CR$14&lt;$I6)+$H6*(CR$14&gt;=$I6))*$C6*(1+'Property Summary'!$I$18)^(CR$13-1))</f>
        <v>66590.694774106742</v>
      </c>
      <c r="CS17" s="102">
        <f>IF(OR($B6="",$B6=0),"",($G6*(CS$14&lt;$I6)+$H6*(CS$14&gt;=$I6))*$C6*(1+'Property Summary'!$I$18)^(CS$13-1))</f>
        <v>66590.694774106742</v>
      </c>
      <c r="CT17" s="102">
        <f>IF(OR($B6="",$B6=0),"",($G6*(CT$14&lt;$I6)+$H6*(CT$14&gt;=$I6))*$C6*(1+'Property Summary'!$I$18)^(CT$13-1))</f>
        <v>66590.694774106742</v>
      </c>
      <c r="CU17" s="102">
        <f>IF(OR($B6="",$B6=0),"",($G6*(CU$14&lt;$I6)+$H6*(CU$14&gt;=$I6))*$C6*(1+'Property Summary'!$I$18)^(CU$13-1))</f>
        <v>67589.555195718349</v>
      </c>
      <c r="CV17" s="102">
        <f>IF(OR($B6="",$B6=0),"",($G6*(CV$14&lt;$I6)+$H6*(CV$14&gt;=$I6))*$C6*(1+'Property Summary'!$I$18)^(CV$13-1))</f>
        <v>67589.555195718349</v>
      </c>
      <c r="CW17" s="102">
        <f>IF(OR($B6="",$B6=0),"",($G6*(CW$14&lt;$I6)+$H6*(CW$14&gt;=$I6))*$C6*(1+'Property Summary'!$I$18)^(CW$13-1))</f>
        <v>67589.555195718349</v>
      </c>
      <c r="CX17" s="102">
        <f>IF(OR($B6="",$B6=0),"",($G6*(CX$14&lt;$I6)+$H6*(CX$14&gt;=$I6))*$C6*(1+'Property Summary'!$I$18)^(CX$13-1))</f>
        <v>67589.555195718349</v>
      </c>
      <c r="CY17" s="102">
        <f>IF(OR($B6="",$B6=0),"",($G6*(CY$14&lt;$I6)+$H6*(CY$14&gt;=$I6))*$C6*(1+'Property Summary'!$I$18)^(CY$13-1))</f>
        <v>67589.555195718349</v>
      </c>
      <c r="CZ17" s="102">
        <f>IF(OR($B6="",$B6=0),"",($G6*(CZ$14&lt;$I6)+$H6*(CZ$14&gt;=$I6))*$C6*(1+'Property Summary'!$I$18)^(CZ$13-1))</f>
        <v>67589.555195718349</v>
      </c>
      <c r="DA17" s="102">
        <f>IF(OR($B6="",$B6=0),"",($G6*(DA$14&lt;$I6)+$H6*(DA$14&gt;=$I6))*$C6*(1+'Property Summary'!$I$18)^(DA$13-1))</f>
        <v>67589.555195718349</v>
      </c>
      <c r="DB17" s="102">
        <f>IF(OR($B6="",$B6=0),"",($G6*(DB$14&lt;$I6)+$H6*(DB$14&gt;=$I6))*$C6*(1+'Property Summary'!$I$18)^(DB$13-1))</f>
        <v>67589.555195718349</v>
      </c>
      <c r="DC17" s="102">
        <f>IF(OR($B6="",$B6=0),"",($G6*(DC$14&lt;$I6)+$H6*(DC$14&gt;=$I6))*$C6*(1+'Property Summary'!$I$18)^(DC$13-1))</f>
        <v>67589.555195718349</v>
      </c>
      <c r="DD17" s="102">
        <f>IF(OR($B6="",$B6=0),"",($G6*(DD$14&lt;$I6)+$H6*(DD$14&gt;=$I6))*$C6*(1+'Property Summary'!$I$18)^(DD$13-1))</f>
        <v>67589.555195718349</v>
      </c>
      <c r="DE17" s="102">
        <f>IF(OR($B6="",$B6=0),"",($G6*(DE$14&lt;$I6)+$H6*(DE$14&gt;=$I6))*$C6*(1+'Property Summary'!$I$18)^(DE$13-1))</f>
        <v>67589.555195718349</v>
      </c>
      <c r="DF17" s="102">
        <f>IF(OR($B6="",$B6=0),"",($G6*(DF$14&lt;$I6)+$H6*(DF$14&gt;=$I6))*$C6*(1+'Property Summary'!$I$18)^(DF$13-1))</f>
        <v>67589.555195718349</v>
      </c>
      <c r="DG17" s="102">
        <f>IF(OR($B6="",$B6=0),"",($G6*(DG$14&lt;$I6)+$H6*(DG$14&gt;=$I6))*$C6*(1+'Property Summary'!$I$18)^(DG$13-1))</f>
        <v>68603.398523654105</v>
      </c>
      <c r="DH17" s="102">
        <f>IF(OR($B6="",$B6=0),"",($G6*(DH$14&lt;$I6)+$H6*(DH$14&gt;=$I6))*$C6*(1+'Property Summary'!$I$18)^(DH$13-1))</f>
        <v>68603.398523654105</v>
      </c>
      <c r="DI17" s="102">
        <f>IF(OR($B6="",$B6=0),"",($G6*(DI$14&lt;$I6)+$H6*(DI$14&gt;=$I6))*$C6*(1+'Property Summary'!$I$18)^(DI$13-1))</f>
        <v>68603.398523654105</v>
      </c>
      <c r="DJ17" s="102">
        <f>IF(OR($B6="",$B6=0),"",($G6*(DJ$14&lt;$I6)+$H6*(DJ$14&gt;=$I6))*$C6*(1+'Property Summary'!$I$18)^(DJ$13-1))</f>
        <v>68603.398523654105</v>
      </c>
      <c r="DK17" s="102">
        <f>IF(OR($B6="",$B6=0),"",($G6*(DK$14&lt;$I6)+$H6*(DK$14&gt;=$I6))*$C6*(1+'Property Summary'!$I$18)^(DK$13-1))</f>
        <v>68603.398523654105</v>
      </c>
      <c r="DL17" s="102">
        <f>IF(OR($B6="",$B6=0),"",($G6*(DL$14&lt;$I6)+$H6*(DL$14&gt;=$I6))*$C6*(1+'Property Summary'!$I$18)^(DL$13-1))</f>
        <v>68603.398523654105</v>
      </c>
      <c r="DM17" s="102">
        <f>IF(OR($B6="",$B6=0),"",($G6*(DM$14&lt;$I6)+$H6*(DM$14&gt;=$I6))*$C6*(1+'Property Summary'!$I$18)^(DM$13-1))</f>
        <v>68603.398523654105</v>
      </c>
      <c r="DN17" s="102">
        <f>IF(OR($B6="",$B6=0),"",($G6*(DN$14&lt;$I6)+$H6*(DN$14&gt;=$I6))*$C6*(1+'Property Summary'!$I$18)^(DN$13-1))</f>
        <v>68603.398523654105</v>
      </c>
      <c r="DO17" s="102">
        <f>IF(OR($B6="",$B6=0),"",($G6*(DO$14&lt;$I6)+$H6*(DO$14&gt;=$I6))*$C6*(1+'Property Summary'!$I$18)^(DO$13-1))</f>
        <v>68603.398523654105</v>
      </c>
      <c r="DP17" s="102">
        <f>IF(OR($B6="",$B6=0),"",($G6*(DP$14&lt;$I6)+$H6*(DP$14&gt;=$I6))*$C6*(1+'Property Summary'!$I$18)^(DP$13-1))</f>
        <v>68603.398523654105</v>
      </c>
      <c r="DQ17" s="102">
        <f>IF(OR($B6="",$B6=0),"",($G6*(DQ$14&lt;$I6)+$H6*(DQ$14&gt;=$I6))*$C6*(1+'Property Summary'!$I$18)^(DQ$13-1))</f>
        <v>68603.398523654105</v>
      </c>
      <c r="DR17" s="102">
        <f>IF(OR($B6="",$B6=0),"",($G6*(DR$14&lt;$I6)+$H6*(DR$14&gt;=$I6))*$C6*(1+'Property Summary'!$I$18)^(DR$13-1))</f>
        <v>68603.398523654105</v>
      </c>
      <c r="DS17" s="102">
        <f>IF(OR($B6="",$B6=0),"",($G6*(DS$14&lt;$I6)+$H6*(DS$14&gt;=$I6))*$C6*(1+'Property Summary'!$I$18)^(DS$13-1))</f>
        <v>69632.44950150892</v>
      </c>
      <c r="DT17" s="102">
        <f>IF(OR($B6="",$B6=0),"",($G6*(DT$14&lt;$I6)+$H6*(DT$14&gt;=$I6))*$C6*(1+'Property Summary'!$I$18)^(DT$13-1))</f>
        <v>69632.44950150892</v>
      </c>
      <c r="DU17" s="102">
        <f>IF(OR($B6="",$B6=0),"",($G6*(DU$14&lt;$I6)+$H6*(DU$14&gt;=$I6))*$C6*(1+'Property Summary'!$I$18)^(DU$13-1))</f>
        <v>69632.44950150892</v>
      </c>
      <c r="DV17" s="102">
        <f>IF(OR($B6="",$B6=0),"",($G6*(DV$14&lt;$I6)+$H6*(DV$14&gt;=$I6))*$C6*(1+'Property Summary'!$I$18)^(DV$13-1))</f>
        <v>69632.44950150892</v>
      </c>
      <c r="DW17" s="102">
        <f>IF(OR($B6="",$B6=0),"",($G6*(DW$14&lt;$I6)+$H6*(DW$14&gt;=$I6))*$C6*(1+'Property Summary'!$I$18)^(DW$13-1))</f>
        <v>69632.44950150892</v>
      </c>
      <c r="DX17" s="102">
        <f>IF(OR($B6="",$B6=0),"",($G6*(DX$14&lt;$I6)+$H6*(DX$14&gt;=$I6))*$C6*(1+'Property Summary'!$I$18)^(DX$13-1))</f>
        <v>69632.44950150892</v>
      </c>
      <c r="DY17" s="102">
        <f>IF(OR($B6="",$B6=0),"",($G6*(DY$14&lt;$I6)+$H6*(DY$14&gt;=$I6))*$C6*(1+'Property Summary'!$I$18)^(DY$13-1))</f>
        <v>69632.44950150892</v>
      </c>
      <c r="DZ17" s="102">
        <f>IF(OR($B6="",$B6=0),"",($G6*(DZ$14&lt;$I6)+$H6*(DZ$14&gt;=$I6))*$C6*(1+'Property Summary'!$I$18)^(DZ$13-1))</f>
        <v>69632.44950150892</v>
      </c>
      <c r="EA17" s="102">
        <f>IF(OR($B6="",$B6=0),"",($G6*(EA$14&lt;$I6)+$H6*(EA$14&gt;=$I6))*$C6*(1+'Property Summary'!$I$18)^(EA$13-1))</f>
        <v>69632.44950150892</v>
      </c>
      <c r="EB17" s="102">
        <f>IF(OR($B6="",$B6=0),"",($G6*(EB$14&lt;$I6)+$H6*(EB$14&gt;=$I6))*$C6*(1+'Property Summary'!$I$18)^(EB$13-1))</f>
        <v>69632.44950150892</v>
      </c>
      <c r="EC17" s="102">
        <f>IF(OR($B6="",$B6=0),"",($G6*(EC$14&lt;$I6)+$H6*(EC$14&gt;=$I6))*$C6*(1+'Property Summary'!$I$18)^(EC$13-1))</f>
        <v>69632.44950150892</v>
      </c>
      <c r="ED17" s="102">
        <f>IF(OR($B6="",$B6=0),"",($G6*(ED$14&lt;$I6)+$H6*(ED$14&gt;=$I6))*$C6*(1+'Property Summary'!$I$18)^(ED$13-1))</f>
        <v>69632.44950150892</v>
      </c>
      <c r="EE17" s="102">
        <f>IF(OR($B6="",$B6=0),"",($G6*(EE$14&lt;$I6)+$H6*(EE$14&gt;=$I6))*$C6*(1+'Property Summary'!$I$18)^(EE$13-1))</f>
        <v>70676.936244031545</v>
      </c>
      <c r="EF17" s="102">
        <f>IF(OR($B6="",$B6=0),"",($G6*(EF$14&lt;$I6)+$H6*(EF$14&gt;=$I6))*$C6*(1+'Property Summary'!$I$18)^(EF$13-1))</f>
        <v>70676.936244031545</v>
      </c>
      <c r="EG17" s="102">
        <f>IF(OR($B6="",$B6=0),"",($G6*(EG$14&lt;$I6)+$H6*(EG$14&gt;=$I6))*$C6*(1+'Property Summary'!$I$18)^(EG$13-1))</f>
        <v>70676.936244031545</v>
      </c>
      <c r="EH17" s="102">
        <f>IF(OR($B6="",$B6=0),"",($G6*(EH$14&lt;$I6)+$H6*(EH$14&gt;=$I6))*$C6*(1+'Property Summary'!$I$18)^(EH$13-1))</f>
        <v>70676.936244031545</v>
      </c>
      <c r="EI17" s="102">
        <f>IF(OR($B6="",$B6=0),"",($G6*(EI$14&lt;$I6)+$H6*(EI$14&gt;=$I6))*$C6*(1+'Property Summary'!$I$18)^(EI$13-1))</f>
        <v>70676.936244031545</v>
      </c>
      <c r="EJ17" s="102">
        <f>IF(OR($B6="",$B6=0),"",($G6*(EJ$14&lt;$I6)+$H6*(EJ$14&gt;=$I6))*$C6*(1+'Property Summary'!$I$18)^(EJ$13-1))</f>
        <v>70676.936244031545</v>
      </c>
      <c r="EK17" s="102">
        <f>IF(OR($B6="",$B6=0),"",($G6*(EK$14&lt;$I6)+$H6*(EK$14&gt;=$I6))*$C6*(1+'Property Summary'!$I$18)^(EK$13-1))</f>
        <v>70676.936244031545</v>
      </c>
      <c r="EL17" s="102">
        <f>IF(OR($B6="",$B6=0),"",($G6*(EL$14&lt;$I6)+$H6*(EL$14&gt;=$I6))*$C6*(1+'Property Summary'!$I$18)^(EL$13-1))</f>
        <v>70676.936244031545</v>
      </c>
      <c r="EM17" s="102">
        <f>IF(OR($B6="",$B6=0),"",($G6*(EM$14&lt;$I6)+$H6*(EM$14&gt;=$I6))*$C6*(1+'Property Summary'!$I$18)^(EM$13-1))</f>
        <v>70676.936244031545</v>
      </c>
      <c r="EN17" s="102">
        <f>IF(OR($B6="",$B6=0),"",($G6*(EN$14&lt;$I6)+$H6*(EN$14&gt;=$I6))*$C6*(1+'Property Summary'!$I$18)^(EN$13-1))</f>
        <v>70676.936244031545</v>
      </c>
      <c r="EO17" s="102">
        <f>IF(OR($B6="",$B6=0),"",($G6*(EO$14&lt;$I6)+$H6*(EO$14&gt;=$I6))*$C6*(1+'Property Summary'!$I$18)^(EO$13-1))</f>
        <v>70676.936244031545</v>
      </c>
      <c r="EP17" s="102">
        <f>IF(OR($B6="",$B6=0),"",($G6*(EP$14&lt;$I6)+$H6*(EP$14&gt;=$I6))*$C6*(1+'Property Summary'!$I$18)^(EP$13-1))</f>
        <v>70676.936244031545</v>
      </c>
      <c r="EQ17" s="102">
        <f>IF(OR($B6="",$B6=0),"",($G6*(EQ$14&lt;$I6)+$H6*(EQ$14&gt;=$I6))*$C6*(1+'Property Summary'!$I$18)^(EQ$13-1))</f>
        <v>71737.090287692001</v>
      </c>
      <c r="ER17" s="102">
        <f>IF(OR($B6="",$B6=0),"",($G6*(ER$14&lt;$I6)+$H6*(ER$14&gt;=$I6))*$C6*(1+'Property Summary'!$I$18)^(ER$13-1))</f>
        <v>71737.090287692001</v>
      </c>
      <c r="ES17" s="102">
        <f>IF(OR($B6="",$B6=0),"",($G6*(ES$14&lt;$I6)+$H6*(ES$14&gt;=$I6))*$C6*(1+'Property Summary'!$I$18)^(ES$13-1))</f>
        <v>71737.090287692001</v>
      </c>
      <c r="ET17" s="102">
        <f>IF(OR($B6="",$B6=0),"",($G6*(ET$14&lt;$I6)+$H6*(ET$14&gt;=$I6))*$C6*(1+'Property Summary'!$I$18)^(ET$13-1))</f>
        <v>71737.090287692001</v>
      </c>
      <c r="EU17" s="102">
        <f>IF(OR($B6="",$B6=0),"",($G6*(EU$14&lt;$I6)+$H6*(EU$14&gt;=$I6))*$C6*(1+'Property Summary'!$I$18)^(EU$13-1))</f>
        <v>71737.090287692001</v>
      </c>
      <c r="EV17" s="102">
        <f>IF(OR($B6="",$B6=0),"",($G6*(EV$14&lt;$I6)+$H6*(EV$14&gt;=$I6))*$C6*(1+'Property Summary'!$I$18)^(EV$13-1))</f>
        <v>71737.090287692001</v>
      </c>
      <c r="EW17" s="102">
        <f>IF(OR($B6="",$B6=0),"",($G6*(EW$14&lt;$I6)+$H6*(EW$14&gt;=$I6))*$C6*(1+'Property Summary'!$I$18)^(EW$13-1))</f>
        <v>71737.090287692001</v>
      </c>
      <c r="EX17" s="102">
        <f>IF(OR($B6="",$B6=0),"",($G6*(EX$14&lt;$I6)+$H6*(EX$14&gt;=$I6))*$C6*(1+'Property Summary'!$I$18)^(EX$13-1))</f>
        <v>71737.090287692001</v>
      </c>
      <c r="EY17" s="102">
        <f>IF(OR($B6="",$B6=0),"",($G6*(EY$14&lt;$I6)+$H6*(EY$14&gt;=$I6))*$C6*(1+'Property Summary'!$I$18)^(EY$13-1))</f>
        <v>71737.090287692001</v>
      </c>
      <c r="EZ17" s="102">
        <f>IF(OR($B6="",$B6=0),"",($G6*(EZ$14&lt;$I6)+$H6*(EZ$14&gt;=$I6))*$C6*(1+'Property Summary'!$I$18)^(EZ$13-1))</f>
        <v>71737.090287692001</v>
      </c>
      <c r="FA17" s="102">
        <f>IF(OR($B6="",$B6=0),"",($G6*(FA$14&lt;$I6)+$H6*(FA$14&gt;=$I6))*$C6*(1+'Property Summary'!$I$18)^(FA$13-1))</f>
        <v>71737.090287692001</v>
      </c>
      <c r="FB17" s="102">
        <f>IF(OR($B6="",$B6=0),"",($G6*(FB$14&lt;$I6)+$H6*(FB$14&gt;=$I6))*$C6*(1+'Property Summary'!$I$18)^(FB$13-1))</f>
        <v>71737.090287692001</v>
      </c>
      <c r="FC17" s="102">
        <f>IF(OR($B6="",$B6=0),"",($G6*(FC$14&lt;$I6)+$H6*(FC$14&gt;=$I6))*$C6*(1+'Property Summary'!$I$18)^(FC$13-1))</f>
        <v>72813.14664200737</v>
      </c>
      <c r="FD17" s="102">
        <f>IF(OR($B6="",$B6=0),"",($G6*(FD$14&lt;$I6)+$H6*(FD$14&gt;=$I6))*$C6*(1+'Property Summary'!$I$18)^(FD$13-1))</f>
        <v>72813.14664200737</v>
      </c>
      <c r="FE17" s="102">
        <f>IF(OR($B6="",$B6=0),"",($G6*(FE$14&lt;$I6)+$H6*(FE$14&gt;=$I6))*$C6*(1+'Property Summary'!$I$18)^(FE$13-1))</f>
        <v>72813.14664200737</v>
      </c>
      <c r="FF17" s="102">
        <f>IF(OR($B6="",$B6=0),"",($G6*(FF$14&lt;$I6)+$H6*(FF$14&gt;=$I6))*$C6*(1+'Property Summary'!$I$18)^(FF$13-1))</f>
        <v>72813.14664200737</v>
      </c>
      <c r="FG17" s="102">
        <f>IF(OR($B6="",$B6=0),"",($G6*(FG$14&lt;$I6)+$H6*(FG$14&gt;=$I6))*$C6*(1+'Property Summary'!$I$18)^(FG$13-1))</f>
        <v>72813.14664200737</v>
      </c>
      <c r="FH17" s="102">
        <f>IF(OR($B6="",$B6=0),"",($G6*(FH$14&lt;$I6)+$H6*(FH$14&gt;=$I6))*$C6*(1+'Property Summary'!$I$18)^(FH$13-1))</f>
        <v>72813.14664200737</v>
      </c>
      <c r="FI17" s="102">
        <f>IF(OR($B6="",$B6=0),"",($G6*(FI$14&lt;$I6)+$H6*(FI$14&gt;=$I6))*$C6*(1+'Property Summary'!$I$18)^(FI$13-1))</f>
        <v>72813.14664200737</v>
      </c>
      <c r="FJ17" s="102">
        <f>IF(OR($B6="",$B6=0),"",($G6*(FJ$14&lt;$I6)+$H6*(FJ$14&gt;=$I6))*$C6*(1+'Property Summary'!$I$18)^(FJ$13-1))</f>
        <v>72813.14664200737</v>
      </c>
      <c r="FK17" s="102">
        <f>IF(OR($B6="",$B6=0),"",($G6*(FK$14&lt;$I6)+$H6*(FK$14&gt;=$I6))*$C6*(1+'Property Summary'!$I$18)^(FK$13-1))</f>
        <v>72813.14664200737</v>
      </c>
      <c r="FL17" s="102">
        <f>IF(OR($B6="",$B6=0),"",($G6*(FL$14&lt;$I6)+$H6*(FL$14&gt;=$I6))*$C6*(1+'Property Summary'!$I$18)^(FL$13-1))</f>
        <v>72813.14664200737</v>
      </c>
      <c r="FM17" s="102">
        <f>IF(OR($B6="",$B6=0),"",($G6*(FM$14&lt;$I6)+$H6*(FM$14&gt;=$I6))*$C6*(1+'Property Summary'!$I$18)^(FM$13-1))</f>
        <v>72813.14664200737</v>
      </c>
      <c r="FN17" s="102">
        <f>IF(OR($B6="",$B6=0),"",($G6*(FN$14&lt;$I6)+$H6*(FN$14&gt;=$I6))*$C6*(1+'Property Summary'!$I$18)^(FN$13-1))</f>
        <v>72813.14664200737</v>
      </c>
      <c r="FO17" s="102">
        <f>IF(OR($B6="",$B6=0),"",($G6*(FO$14&lt;$I6)+$H6*(FO$14&gt;=$I6))*$C6*(1+'Property Summary'!$I$18)^(FO$13-1))</f>
        <v>73905.34384163747</v>
      </c>
      <c r="FP17" s="102">
        <f>IF(OR($B6="",$B6=0),"",($G6*(FP$14&lt;$I6)+$H6*(FP$14&gt;=$I6))*$C6*(1+'Property Summary'!$I$18)^(FP$13-1))</f>
        <v>73905.34384163747</v>
      </c>
      <c r="FQ17" s="102">
        <f>IF(OR($B6="",$B6=0),"",($G6*(FQ$14&lt;$I6)+$H6*(FQ$14&gt;=$I6))*$C6*(1+'Property Summary'!$I$18)^(FQ$13-1))</f>
        <v>73905.34384163747</v>
      </c>
      <c r="FR17" s="102">
        <f>IF(OR($B6="",$B6=0),"",($G6*(FR$14&lt;$I6)+$H6*(FR$14&gt;=$I6))*$C6*(1+'Property Summary'!$I$18)^(FR$13-1))</f>
        <v>73905.34384163747</v>
      </c>
      <c r="FS17" s="102">
        <f>IF(OR($B6="",$B6=0),"",($G6*(FS$14&lt;$I6)+$H6*(FS$14&gt;=$I6))*$C6*(1+'Property Summary'!$I$18)^(FS$13-1))</f>
        <v>73905.34384163747</v>
      </c>
      <c r="FT17" s="102">
        <f>IF(OR($B6="",$B6=0),"",($G6*(FT$14&lt;$I6)+$H6*(FT$14&gt;=$I6))*$C6*(1+'Property Summary'!$I$18)^(FT$13-1))</f>
        <v>73905.34384163747</v>
      </c>
      <c r="FU17" s="102">
        <f>IF(OR($B6="",$B6=0),"",($G6*(FU$14&lt;$I6)+$H6*(FU$14&gt;=$I6))*$C6*(1+'Property Summary'!$I$18)^(FU$13-1))</f>
        <v>73905.34384163747</v>
      </c>
      <c r="FV17" s="102">
        <f>IF(OR($B6="",$B6=0),"",($G6*(FV$14&lt;$I6)+$H6*(FV$14&gt;=$I6))*$C6*(1+'Property Summary'!$I$18)^(FV$13-1))</f>
        <v>73905.34384163747</v>
      </c>
      <c r="FW17" s="102">
        <f>IF(OR($B6="",$B6=0),"",($G6*(FW$14&lt;$I6)+$H6*(FW$14&gt;=$I6))*$C6*(1+'Property Summary'!$I$18)^(FW$13-1))</f>
        <v>73905.34384163747</v>
      </c>
      <c r="FX17" s="102">
        <f>IF(OR($B6="",$B6=0),"",($G6*(FX$14&lt;$I6)+$H6*(FX$14&gt;=$I6))*$C6*(1+'Property Summary'!$I$18)^(FX$13-1))</f>
        <v>73905.34384163747</v>
      </c>
      <c r="FY17" s="102">
        <f>IF(OR($B6="",$B6=0),"",($G6*(FY$14&lt;$I6)+$H6*(FY$14&gt;=$I6))*$C6*(1+'Property Summary'!$I$18)^(FY$13-1))</f>
        <v>73905.34384163747</v>
      </c>
      <c r="FZ17" s="103">
        <f>IF(OR($B6="",$B6=0),"",($G6*(FZ$14&lt;$I6)+$H6*(FZ$14&gt;=$I6))*$C6*(1+'Property Summary'!$I$18)^(FZ$13-1))</f>
        <v>73905.34384163747</v>
      </c>
    </row>
    <row r="18" spans="2:182" x14ac:dyDescent="0.2">
      <c r="B18" s="4"/>
      <c r="C18" s="102">
        <f>IF(OR($B7="",$B7=0),"",($G7*(C$14&lt;$I7)+$H7*(C$14&gt;=$I7))*$C7*(1+'Property Summary'!$I$18)^(C$13-1))</f>
        <v>96000</v>
      </c>
      <c r="D18" s="102">
        <f>IF(OR($B7="",$B7=0),"",($G7*(D$14&lt;$I7)+$H7*(D$14&gt;=$I7))*$C7*(1+'Property Summary'!$I$18)^(D$13-1))</f>
        <v>96000</v>
      </c>
      <c r="E18" s="102">
        <f>IF(OR($B7="",$B7=0),"",($G7*(E$14&lt;$I7)+$H7*(E$14&gt;=$I7))*$C7*(1+'Property Summary'!$I$18)^(E$13-1))</f>
        <v>96000</v>
      </c>
      <c r="F18" s="102">
        <f>IF(OR($B7="",$B7=0),"",($G7*(F$14&lt;$I7)+$H7*(F$14&gt;=$I7))*$C7*(1+'Property Summary'!$I$18)^(F$13-1))</f>
        <v>96000</v>
      </c>
      <c r="G18" s="102">
        <f>IF(OR($B7="",$B7=0),"",($G7*(G$14&lt;$I7)+$H7*(G$14&gt;=$I7))*$C7*(1+'Property Summary'!$I$18)^(G$13-1))</f>
        <v>96000</v>
      </c>
      <c r="H18" s="102">
        <f>IF(OR($B7="",$B7=0),"",($G7*(H$14&lt;$I7)+$H7*(H$14&gt;=$I7))*$C7*(1+'Property Summary'!$I$18)^(H$13-1))</f>
        <v>96000</v>
      </c>
      <c r="I18" s="102">
        <f>IF(OR($B7="",$B7=0),"",($G7*(I$14&lt;$I7)+$H7*(I$14&gt;=$I7))*$C7*(1+'Property Summary'!$I$18)^(I$13-1))</f>
        <v>96000</v>
      </c>
      <c r="J18" s="102">
        <f>IF(OR($B7="",$B7=0),"",($G7*(J$14&lt;$I7)+$H7*(J$14&gt;=$I7))*$C7*(1+'Property Summary'!$I$18)^(J$13-1))</f>
        <v>96000</v>
      </c>
      <c r="K18" s="102">
        <f>IF(OR($B7="",$B7=0),"",($G7*(K$14&lt;$I7)+$H7*(K$14&gt;=$I7))*$C7*(1+'Property Summary'!$I$18)^(K$13-1))</f>
        <v>96000</v>
      </c>
      <c r="L18" s="102">
        <f>IF(OR($B7="",$B7=0),"",($G7*(L$14&lt;$I7)+$H7*(L$14&gt;=$I7))*$C7*(1+'Property Summary'!$I$18)^(L$13-1))</f>
        <v>96000</v>
      </c>
      <c r="M18" s="102">
        <f>IF(OR($B7="",$B7=0),"",($G7*(M$14&lt;$I7)+$H7*(M$14&gt;=$I7))*$C7*(1+'Property Summary'!$I$18)^(M$13-1))</f>
        <v>96000</v>
      </c>
      <c r="N18" s="102">
        <f>IF(OR($B7="",$B7=0),"",($G7*(N$14&lt;$I7)+$H7*(N$14&gt;=$I7))*$C7*(1+'Property Summary'!$I$18)^(N$13-1))</f>
        <v>96000</v>
      </c>
      <c r="O18" s="102">
        <f>IF(OR($B7="",$B7=0),"",($G7*(O$14&lt;$I7)+$H7*(O$14&gt;=$I7))*$C7*(1+'Property Summary'!$I$18)^(O$13-1))</f>
        <v>97439.999999999985</v>
      </c>
      <c r="P18" s="102">
        <f>IF(OR($B7="",$B7=0),"",($G7*(P$14&lt;$I7)+$H7*(P$14&gt;=$I7))*$C7*(1+'Property Summary'!$I$18)^(P$13-1))</f>
        <v>97439.999999999985</v>
      </c>
      <c r="Q18" s="102">
        <f>IF(OR($B7="",$B7=0),"",($G7*(Q$14&lt;$I7)+$H7*(Q$14&gt;=$I7))*$C7*(1+'Property Summary'!$I$18)^(Q$13-1))</f>
        <v>97439.999999999985</v>
      </c>
      <c r="R18" s="102">
        <f>IF(OR($B7="",$B7=0),"",($G7*(R$14&lt;$I7)+$H7*(R$14&gt;=$I7))*$C7*(1+'Property Summary'!$I$18)^(R$13-1))</f>
        <v>97439.999999999985</v>
      </c>
      <c r="S18" s="102">
        <f>IF(OR($B7="",$B7=0),"",($G7*(S$14&lt;$I7)+$H7*(S$14&gt;=$I7))*$C7*(1+'Property Summary'!$I$18)^(S$13-1))</f>
        <v>97439.999999999985</v>
      </c>
      <c r="T18" s="102">
        <f>IF(OR($B7="",$B7=0),"",($G7*(T$14&lt;$I7)+$H7*(T$14&gt;=$I7))*$C7*(1+'Property Summary'!$I$18)^(T$13-1))</f>
        <v>97439.999999999985</v>
      </c>
      <c r="U18" s="102">
        <f>IF(OR($B7="",$B7=0),"",($G7*(U$14&lt;$I7)+$H7*(U$14&gt;=$I7))*$C7*(1+'Property Summary'!$I$18)^(U$13-1))</f>
        <v>100484.99999999999</v>
      </c>
      <c r="V18" s="102">
        <f>IF(OR($B7="",$B7=0),"",($G7*(V$14&lt;$I7)+$H7*(V$14&gt;=$I7))*$C7*(1+'Property Summary'!$I$18)^(V$13-1))</f>
        <v>100484.99999999999</v>
      </c>
      <c r="W18" s="102">
        <f>IF(OR($B7="",$B7=0),"",($G7*(W$14&lt;$I7)+$H7*(W$14&gt;=$I7))*$C7*(1+'Property Summary'!$I$18)^(W$13-1))</f>
        <v>100484.99999999999</v>
      </c>
      <c r="X18" s="102">
        <f>IF(OR($B7="",$B7=0),"",($G7*(X$14&lt;$I7)+$H7*(X$14&gt;=$I7))*$C7*(1+'Property Summary'!$I$18)^(X$13-1))</f>
        <v>100484.99999999999</v>
      </c>
      <c r="Y18" s="102">
        <f>IF(OR($B7="",$B7=0),"",($G7*(Y$14&lt;$I7)+$H7*(Y$14&gt;=$I7))*$C7*(1+'Property Summary'!$I$18)^(Y$13-1))</f>
        <v>100484.99999999999</v>
      </c>
      <c r="Z18" s="102">
        <f>IF(OR($B7="",$B7=0),"",($G7*(Z$14&lt;$I7)+$H7*(Z$14&gt;=$I7))*$C7*(1+'Property Summary'!$I$18)^(Z$13-1))</f>
        <v>100484.99999999999</v>
      </c>
      <c r="AA18" s="102">
        <f>IF(OR($B7="",$B7=0),"",($G7*(AA$14&lt;$I7)+$H7*(AA$14&gt;=$I7))*$C7*(1+'Property Summary'!$I$18)^(AA$13-1))</f>
        <v>101992.27499999998</v>
      </c>
      <c r="AB18" s="102">
        <f>IF(OR($B7="",$B7=0),"",($G7*(AB$14&lt;$I7)+$H7*(AB$14&gt;=$I7))*$C7*(1+'Property Summary'!$I$18)^(AB$13-1))</f>
        <v>101992.27499999998</v>
      </c>
      <c r="AC18" s="102">
        <f>IF(OR($B7="",$B7=0),"",($G7*(AC$14&lt;$I7)+$H7*(AC$14&gt;=$I7))*$C7*(1+'Property Summary'!$I$18)^(AC$13-1))</f>
        <v>101992.27499999998</v>
      </c>
      <c r="AD18" s="102">
        <f>IF(OR($B7="",$B7=0),"",($G7*(AD$14&lt;$I7)+$H7*(AD$14&gt;=$I7))*$C7*(1+'Property Summary'!$I$18)^(AD$13-1))</f>
        <v>101992.27499999998</v>
      </c>
      <c r="AE18" s="102">
        <f>IF(OR($B7="",$B7=0),"",($G7*(AE$14&lt;$I7)+$H7*(AE$14&gt;=$I7))*$C7*(1+'Property Summary'!$I$18)^(AE$13-1))</f>
        <v>101992.27499999998</v>
      </c>
      <c r="AF18" s="102">
        <f>IF(OR($B7="",$B7=0),"",($G7*(AF$14&lt;$I7)+$H7*(AF$14&gt;=$I7))*$C7*(1+'Property Summary'!$I$18)^(AF$13-1))</f>
        <v>101992.27499999998</v>
      </c>
      <c r="AG18" s="102">
        <f>IF(OR($B7="",$B7=0),"",($G7*(AG$14&lt;$I7)+$H7*(AG$14&gt;=$I7))*$C7*(1+'Property Summary'!$I$18)^(AG$13-1))</f>
        <v>101992.27499999998</v>
      </c>
      <c r="AH18" s="102">
        <f>IF(OR($B7="",$B7=0),"",($G7*(AH$14&lt;$I7)+$H7*(AH$14&gt;=$I7))*$C7*(1+'Property Summary'!$I$18)^(AH$13-1))</f>
        <v>101992.27499999998</v>
      </c>
      <c r="AI18" s="102">
        <f>IF(OR($B7="",$B7=0),"",($G7*(AI$14&lt;$I7)+$H7*(AI$14&gt;=$I7))*$C7*(1+'Property Summary'!$I$18)^(AI$13-1))</f>
        <v>101992.27499999998</v>
      </c>
      <c r="AJ18" s="102">
        <f>IF(OR($B7="",$B7=0),"",($G7*(AJ$14&lt;$I7)+$H7*(AJ$14&gt;=$I7))*$C7*(1+'Property Summary'!$I$18)^(AJ$13-1))</f>
        <v>101992.27499999998</v>
      </c>
      <c r="AK18" s="102">
        <f>IF(OR($B7="",$B7=0),"",($G7*(AK$14&lt;$I7)+$H7*(AK$14&gt;=$I7))*$C7*(1+'Property Summary'!$I$18)^(AK$13-1))</f>
        <v>101992.27499999998</v>
      </c>
      <c r="AL18" s="102">
        <f>IF(OR($B7="",$B7=0),"",($G7*(AL$14&lt;$I7)+$H7*(AL$14&gt;=$I7))*$C7*(1+'Property Summary'!$I$18)^(AL$13-1))</f>
        <v>101992.27499999998</v>
      </c>
      <c r="AM18" s="102">
        <f>IF(OR($B7="",$B7=0),"",($G7*(AM$14&lt;$I7)+$H7*(AM$14&gt;=$I7))*$C7*(1+'Property Summary'!$I$18)^(AM$13-1))</f>
        <v>103522.15912499996</v>
      </c>
      <c r="AN18" s="102">
        <f>IF(OR($B7="",$B7=0),"",($G7*(AN$14&lt;$I7)+$H7*(AN$14&gt;=$I7))*$C7*(1+'Property Summary'!$I$18)^(AN$13-1))</f>
        <v>103522.15912499996</v>
      </c>
      <c r="AO18" s="102">
        <f>IF(OR($B7="",$B7=0),"",($G7*(AO$14&lt;$I7)+$H7*(AO$14&gt;=$I7))*$C7*(1+'Property Summary'!$I$18)^(AO$13-1))</f>
        <v>103522.15912499996</v>
      </c>
      <c r="AP18" s="102">
        <f>IF(OR($B7="",$B7=0),"",($G7*(AP$14&lt;$I7)+$H7*(AP$14&gt;=$I7))*$C7*(1+'Property Summary'!$I$18)^(AP$13-1))</f>
        <v>103522.15912499996</v>
      </c>
      <c r="AQ18" s="102">
        <f>IF(OR($B7="",$B7=0),"",($G7*(AQ$14&lt;$I7)+$H7*(AQ$14&gt;=$I7))*$C7*(1+'Property Summary'!$I$18)^(AQ$13-1))</f>
        <v>103522.15912499996</v>
      </c>
      <c r="AR18" s="102">
        <f>IF(OR($B7="",$B7=0),"",($G7*(AR$14&lt;$I7)+$H7*(AR$14&gt;=$I7))*$C7*(1+'Property Summary'!$I$18)^(AR$13-1))</f>
        <v>103522.15912499996</v>
      </c>
      <c r="AS18" s="102">
        <f>IF(OR($B7="",$B7=0),"",($G7*(AS$14&lt;$I7)+$H7*(AS$14&gt;=$I7))*$C7*(1+'Property Summary'!$I$18)^(AS$13-1))</f>
        <v>103522.15912499996</v>
      </c>
      <c r="AT18" s="102">
        <f>IF(OR($B7="",$B7=0),"",($G7*(AT$14&lt;$I7)+$H7*(AT$14&gt;=$I7))*$C7*(1+'Property Summary'!$I$18)^(AT$13-1))</f>
        <v>103522.15912499996</v>
      </c>
      <c r="AU18" s="102">
        <f>IF(OR($B7="",$B7=0),"",($G7*(AU$14&lt;$I7)+$H7*(AU$14&gt;=$I7))*$C7*(1+'Property Summary'!$I$18)^(AU$13-1))</f>
        <v>103522.15912499996</v>
      </c>
      <c r="AV18" s="102">
        <f>IF(OR($B7="",$B7=0),"",($G7*(AV$14&lt;$I7)+$H7*(AV$14&gt;=$I7))*$C7*(1+'Property Summary'!$I$18)^(AV$13-1))</f>
        <v>103522.15912499996</v>
      </c>
      <c r="AW18" s="102">
        <f>IF(OR($B7="",$B7=0),"",($G7*(AW$14&lt;$I7)+$H7*(AW$14&gt;=$I7))*$C7*(1+'Property Summary'!$I$18)^(AW$13-1))</f>
        <v>103522.15912499996</v>
      </c>
      <c r="AX18" s="102">
        <f>IF(OR($B7="",$B7=0),"",($G7*(AX$14&lt;$I7)+$H7*(AX$14&gt;=$I7))*$C7*(1+'Property Summary'!$I$18)^(AX$13-1))</f>
        <v>103522.15912499996</v>
      </c>
      <c r="AY18" s="102">
        <f>IF(OR($B7="",$B7=0),"",($G7*(AY$14&lt;$I7)+$H7*(AY$14&gt;=$I7))*$C7*(1+'Property Summary'!$I$18)^(AY$13-1))</f>
        <v>105074.99151187495</v>
      </c>
      <c r="AZ18" s="102">
        <f>IF(OR($B7="",$B7=0),"",($G7*(AZ$14&lt;$I7)+$H7*(AZ$14&gt;=$I7))*$C7*(1+'Property Summary'!$I$18)^(AZ$13-1))</f>
        <v>105074.99151187495</v>
      </c>
      <c r="BA18" s="102">
        <f>IF(OR($B7="",$B7=0),"",($G7*(BA$14&lt;$I7)+$H7*(BA$14&gt;=$I7))*$C7*(1+'Property Summary'!$I$18)^(BA$13-1))</f>
        <v>105074.99151187495</v>
      </c>
      <c r="BB18" s="102">
        <f>IF(OR($B7="",$B7=0),"",($G7*(BB$14&lt;$I7)+$H7*(BB$14&gt;=$I7))*$C7*(1+'Property Summary'!$I$18)^(BB$13-1))</f>
        <v>105074.99151187495</v>
      </c>
      <c r="BC18" s="102">
        <f>IF(OR($B7="",$B7=0),"",($G7*(BC$14&lt;$I7)+$H7*(BC$14&gt;=$I7))*$C7*(1+'Property Summary'!$I$18)^(BC$13-1))</f>
        <v>105074.99151187495</v>
      </c>
      <c r="BD18" s="102">
        <f>IF(OR($B7="",$B7=0),"",($G7*(BD$14&lt;$I7)+$H7*(BD$14&gt;=$I7))*$C7*(1+'Property Summary'!$I$18)^(BD$13-1))</f>
        <v>105074.99151187495</v>
      </c>
      <c r="BE18" s="102">
        <f>IF(OR($B7="",$B7=0),"",($G7*(BE$14&lt;$I7)+$H7*(BE$14&gt;=$I7))*$C7*(1+'Property Summary'!$I$18)^(BE$13-1))</f>
        <v>105074.99151187495</v>
      </c>
      <c r="BF18" s="102">
        <f>IF(OR($B7="",$B7=0),"",($G7*(BF$14&lt;$I7)+$H7*(BF$14&gt;=$I7))*$C7*(1+'Property Summary'!$I$18)^(BF$13-1))</f>
        <v>105074.99151187495</v>
      </c>
      <c r="BG18" s="102">
        <f>IF(OR($B7="",$B7=0),"",($G7*(BG$14&lt;$I7)+$H7*(BG$14&gt;=$I7))*$C7*(1+'Property Summary'!$I$18)^(BG$13-1))</f>
        <v>105074.99151187495</v>
      </c>
      <c r="BH18" s="102">
        <f>IF(OR($B7="",$B7=0),"",($G7*(BH$14&lt;$I7)+$H7*(BH$14&gt;=$I7))*$C7*(1+'Property Summary'!$I$18)^(BH$13-1))</f>
        <v>105074.99151187495</v>
      </c>
      <c r="BI18" s="102">
        <f>IF(OR($B7="",$B7=0),"",($G7*(BI$14&lt;$I7)+$H7*(BI$14&gt;=$I7))*$C7*(1+'Property Summary'!$I$18)^(BI$13-1))</f>
        <v>105074.99151187495</v>
      </c>
      <c r="BJ18" s="102">
        <f>IF(OR($B7="",$B7=0),"",($G7*(BJ$14&lt;$I7)+$H7*(BJ$14&gt;=$I7))*$C7*(1+'Property Summary'!$I$18)^(BJ$13-1))</f>
        <v>105074.99151187495</v>
      </c>
      <c r="BK18" s="102">
        <f>IF(OR($B7="",$B7=0),"",($G7*(BK$14&lt;$I7)+$H7*(BK$14&gt;=$I7))*$C7*(1+'Property Summary'!$I$18)^(BK$13-1))</f>
        <v>106651.11638455305</v>
      </c>
      <c r="BL18" s="102">
        <f>IF(OR($B7="",$B7=0),"",($G7*(BL$14&lt;$I7)+$H7*(BL$14&gt;=$I7))*$C7*(1+'Property Summary'!$I$18)^(BL$13-1))</f>
        <v>106651.11638455305</v>
      </c>
      <c r="BM18" s="102">
        <f>IF(OR($B7="",$B7=0),"",($G7*(BM$14&lt;$I7)+$H7*(BM$14&gt;=$I7))*$C7*(1+'Property Summary'!$I$18)^(BM$13-1))</f>
        <v>106651.11638455305</v>
      </c>
      <c r="BN18" s="102">
        <f>IF(OR($B7="",$B7=0),"",($G7*(BN$14&lt;$I7)+$H7*(BN$14&gt;=$I7))*$C7*(1+'Property Summary'!$I$18)^(BN$13-1))</f>
        <v>106651.11638455305</v>
      </c>
      <c r="BO18" s="102">
        <f>IF(OR($B7="",$B7=0),"",($G7*(BO$14&lt;$I7)+$H7*(BO$14&gt;=$I7))*$C7*(1+'Property Summary'!$I$18)^(BO$13-1))</f>
        <v>106651.11638455305</v>
      </c>
      <c r="BP18" s="102">
        <f>IF(OR($B7="",$B7=0),"",($G7*(BP$14&lt;$I7)+$H7*(BP$14&gt;=$I7))*$C7*(1+'Property Summary'!$I$18)^(BP$13-1))</f>
        <v>106651.11638455305</v>
      </c>
      <c r="BQ18" s="102">
        <f>IF(OR($B7="",$B7=0),"",($G7*(BQ$14&lt;$I7)+$H7*(BQ$14&gt;=$I7))*$C7*(1+'Property Summary'!$I$18)^(BQ$13-1))</f>
        <v>106651.11638455305</v>
      </c>
      <c r="BR18" s="102">
        <f>IF(OR($B7="",$B7=0),"",($G7*(BR$14&lt;$I7)+$H7*(BR$14&gt;=$I7))*$C7*(1+'Property Summary'!$I$18)^(BR$13-1))</f>
        <v>106651.11638455305</v>
      </c>
      <c r="BS18" s="102">
        <f>IF(OR($B7="",$B7=0),"",($G7*(BS$14&lt;$I7)+$H7*(BS$14&gt;=$I7))*$C7*(1+'Property Summary'!$I$18)^(BS$13-1))</f>
        <v>106651.11638455305</v>
      </c>
      <c r="BT18" s="102">
        <f>IF(OR($B7="",$B7=0),"",($G7*(BT$14&lt;$I7)+$H7*(BT$14&gt;=$I7))*$C7*(1+'Property Summary'!$I$18)^(BT$13-1))</f>
        <v>106651.11638455305</v>
      </c>
      <c r="BU18" s="102">
        <f>IF(OR($B7="",$B7=0),"",($G7*(BU$14&lt;$I7)+$H7*(BU$14&gt;=$I7))*$C7*(1+'Property Summary'!$I$18)^(BU$13-1))</f>
        <v>106651.11638455305</v>
      </c>
      <c r="BV18" s="102">
        <f>IF(OR($B7="",$B7=0),"",($G7*(BV$14&lt;$I7)+$H7*(BV$14&gt;=$I7))*$C7*(1+'Property Summary'!$I$18)^(BV$13-1))</f>
        <v>106651.11638455305</v>
      </c>
      <c r="BW18" s="102">
        <f>IF(OR($B7="",$B7=0),"",($G7*(BW$14&lt;$I7)+$H7*(BW$14&gt;=$I7))*$C7*(1+'Property Summary'!$I$18)^(BW$13-1))</f>
        <v>108250.88313032132</v>
      </c>
      <c r="BX18" s="102">
        <f>IF(OR($B7="",$B7=0),"",($G7*(BX$14&lt;$I7)+$H7*(BX$14&gt;=$I7))*$C7*(1+'Property Summary'!$I$18)^(BX$13-1))</f>
        <v>108250.88313032132</v>
      </c>
      <c r="BY18" s="102">
        <f>IF(OR($B7="",$B7=0),"",($G7*(BY$14&lt;$I7)+$H7*(BY$14&gt;=$I7))*$C7*(1+'Property Summary'!$I$18)^(BY$13-1))</f>
        <v>108250.88313032132</v>
      </c>
      <c r="BZ18" s="102">
        <f>IF(OR($B7="",$B7=0),"",($G7*(BZ$14&lt;$I7)+$H7*(BZ$14&gt;=$I7))*$C7*(1+'Property Summary'!$I$18)^(BZ$13-1))</f>
        <v>108250.88313032132</v>
      </c>
      <c r="CA18" s="102">
        <f>IF(OR($B7="",$B7=0),"",($G7*(CA$14&lt;$I7)+$H7*(CA$14&gt;=$I7))*$C7*(1+'Property Summary'!$I$18)^(CA$13-1))</f>
        <v>108250.88313032132</v>
      </c>
      <c r="CB18" s="102">
        <f>IF(OR($B7="",$B7=0),"",($G7*(CB$14&lt;$I7)+$H7*(CB$14&gt;=$I7))*$C7*(1+'Property Summary'!$I$18)^(CB$13-1))</f>
        <v>108250.88313032132</v>
      </c>
      <c r="CC18" s="102">
        <f>IF(OR($B7="",$B7=0),"",($G7*(CC$14&lt;$I7)+$H7*(CC$14&gt;=$I7))*$C7*(1+'Property Summary'!$I$18)^(CC$13-1))</f>
        <v>108250.88313032132</v>
      </c>
      <c r="CD18" s="102">
        <f>IF(OR($B7="",$B7=0),"",($G7*(CD$14&lt;$I7)+$H7*(CD$14&gt;=$I7))*$C7*(1+'Property Summary'!$I$18)^(CD$13-1))</f>
        <v>108250.88313032132</v>
      </c>
      <c r="CE18" s="102">
        <f>IF(OR($B7="",$B7=0),"",($G7*(CE$14&lt;$I7)+$H7*(CE$14&gt;=$I7))*$C7*(1+'Property Summary'!$I$18)^(CE$13-1))</f>
        <v>108250.88313032132</v>
      </c>
      <c r="CF18" s="102">
        <f>IF(OR($B7="",$B7=0),"",($G7*(CF$14&lt;$I7)+$H7*(CF$14&gt;=$I7))*$C7*(1+'Property Summary'!$I$18)^(CF$13-1))</f>
        <v>108250.88313032132</v>
      </c>
      <c r="CG18" s="102">
        <f>IF(OR($B7="",$B7=0),"",($G7*(CG$14&lt;$I7)+$H7*(CG$14&gt;=$I7))*$C7*(1+'Property Summary'!$I$18)^(CG$13-1))</f>
        <v>108250.88313032132</v>
      </c>
      <c r="CH18" s="102">
        <f>IF(OR($B7="",$B7=0),"",($G7*(CH$14&lt;$I7)+$H7*(CH$14&gt;=$I7))*$C7*(1+'Property Summary'!$I$18)^(CH$13-1))</f>
        <v>108250.88313032132</v>
      </c>
      <c r="CI18" s="102">
        <f>IF(OR($B7="",$B7=0),"",($G7*(CI$14&lt;$I7)+$H7*(CI$14&gt;=$I7))*$C7*(1+'Property Summary'!$I$18)^(CI$13-1))</f>
        <v>109874.64637727613</v>
      </c>
      <c r="CJ18" s="102">
        <f>IF(OR($B7="",$B7=0),"",($G7*(CJ$14&lt;$I7)+$H7*(CJ$14&gt;=$I7))*$C7*(1+'Property Summary'!$I$18)^(CJ$13-1))</f>
        <v>109874.64637727613</v>
      </c>
      <c r="CK18" s="102">
        <f>IF(OR($B7="",$B7=0),"",($G7*(CK$14&lt;$I7)+$H7*(CK$14&gt;=$I7))*$C7*(1+'Property Summary'!$I$18)^(CK$13-1))</f>
        <v>109874.64637727613</v>
      </c>
      <c r="CL18" s="102">
        <f>IF(OR($B7="",$B7=0),"",($G7*(CL$14&lt;$I7)+$H7*(CL$14&gt;=$I7))*$C7*(1+'Property Summary'!$I$18)^(CL$13-1))</f>
        <v>109874.64637727613</v>
      </c>
      <c r="CM18" s="102">
        <f>IF(OR($B7="",$B7=0),"",($G7*(CM$14&lt;$I7)+$H7*(CM$14&gt;=$I7))*$C7*(1+'Property Summary'!$I$18)^(CM$13-1))</f>
        <v>109874.64637727613</v>
      </c>
      <c r="CN18" s="102">
        <f>IF(OR($B7="",$B7=0),"",($G7*(CN$14&lt;$I7)+$H7*(CN$14&gt;=$I7))*$C7*(1+'Property Summary'!$I$18)^(CN$13-1))</f>
        <v>109874.64637727613</v>
      </c>
      <c r="CO18" s="102">
        <f>IF(OR($B7="",$B7=0),"",($G7*(CO$14&lt;$I7)+$H7*(CO$14&gt;=$I7))*$C7*(1+'Property Summary'!$I$18)^(CO$13-1))</f>
        <v>109874.64637727613</v>
      </c>
      <c r="CP18" s="102">
        <f>IF(OR($B7="",$B7=0),"",($G7*(CP$14&lt;$I7)+$H7*(CP$14&gt;=$I7))*$C7*(1+'Property Summary'!$I$18)^(CP$13-1))</f>
        <v>109874.64637727613</v>
      </c>
      <c r="CQ18" s="102">
        <f>IF(OR($B7="",$B7=0),"",($G7*(CQ$14&lt;$I7)+$H7*(CQ$14&gt;=$I7))*$C7*(1+'Property Summary'!$I$18)^(CQ$13-1))</f>
        <v>109874.64637727613</v>
      </c>
      <c r="CR18" s="102">
        <f>IF(OR($B7="",$B7=0),"",($G7*(CR$14&lt;$I7)+$H7*(CR$14&gt;=$I7))*$C7*(1+'Property Summary'!$I$18)^(CR$13-1))</f>
        <v>109874.64637727613</v>
      </c>
      <c r="CS18" s="102">
        <f>IF(OR($B7="",$B7=0),"",($G7*(CS$14&lt;$I7)+$H7*(CS$14&gt;=$I7))*$C7*(1+'Property Summary'!$I$18)^(CS$13-1))</f>
        <v>109874.64637727613</v>
      </c>
      <c r="CT18" s="102">
        <f>IF(OR($B7="",$B7=0),"",($G7*(CT$14&lt;$I7)+$H7*(CT$14&gt;=$I7))*$C7*(1+'Property Summary'!$I$18)^(CT$13-1))</f>
        <v>109874.64637727613</v>
      </c>
      <c r="CU18" s="102">
        <f>IF(OR($B7="",$B7=0),"",($G7*(CU$14&lt;$I7)+$H7*(CU$14&gt;=$I7))*$C7*(1+'Property Summary'!$I$18)^(CU$13-1))</f>
        <v>111522.76607293526</v>
      </c>
      <c r="CV18" s="102">
        <f>IF(OR($B7="",$B7=0),"",($G7*(CV$14&lt;$I7)+$H7*(CV$14&gt;=$I7))*$C7*(1+'Property Summary'!$I$18)^(CV$13-1))</f>
        <v>111522.76607293526</v>
      </c>
      <c r="CW18" s="102">
        <f>IF(OR($B7="",$B7=0),"",($G7*(CW$14&lt;$I7)+$H7*(CW$14&gt;=$I7))*$C7*(1+'Property Summary'!$I$18)^(CW$13-1))</f>
        <v>111522.76607293526</v>
      </c>
      <c r="CX18" s="102">
        <f>IF(OR($B7="",$B7=0),"",($G7*(CX$14&lt;$I7)+$H7*(CX$14&gt;=$I7))*$C7*(1+'Property Summary'!$I$18)^(CX$13-1))</f>
        <v>111522.76607293526</v>
      </c>
      <c r="CY18" s="102">
        <f>IF(OR($B7="",$B7=0),"",($G7*(CY$14&lt;$I7)+$H7*(CY$14&gt;=$I7))*$C7*(1+'Property Summary'!$I$18)^(CY$13-1))</f>
        <v>111522.76607293526</v>
      </c>
      <c r="CZ18" s="102">
        <f>IF(OR($B7="",$B7=0),"",($G7*(CZ$14&lt;$I7)+$H7*(CZ$14&gt;=$I7))*$C7*(1+'Property Summary'!$I$18)^(CZ$13-1))</f>
        <v>111522.76607293526</v>
      </c>
      <c r="DA18" s="102">
        <f>IF(OR($B7="",$B7=0),"",($G7*(DA$14&lt;$I7)+$H7*(DA$14&gt;=$I7))*$C7*(1+'Property Summary'!$I$18)^(DA$13-1))</f>
        <v>111522.76607293526</v>
      </c>
      <c r="DB18" s="102">
        <f>IF(OR($B7="",$B7=0),"",($G7*(DB$14&lt;$I7)+$H7*(DB$14&gt;=$I7))*$C7*(1+'Property Summary'!$I$18)^(DB$13-1))</f>
        <v>111522.76607293526</v>
      </c>
      <c r="DC18" s="102">
        <f>IF(OR($B7="",$B7=0),"",($G7*(DC$14&lt;$I7)+$H7*(DC$14&gt;=$I7))*$C7*(1+'Property Summary'!$I$18)^(DC$13-1))</f>
        <v>111522.76607293526</v>
      </c>
      <c r="DD18" s="102">
        <f>IF(OR($B7="",$B7=0),"",($G7*(DD$14&lt;$I7)+$H7*(DD$14&gt;=$I7))*$C7*(1+'Property Summary'!$I$18)^(DD$13-1))</f>
        <v>111522.76607293526</v>
      </c>
      <c r="DE18" s="102">
        <f>IF(OR($B7="",$B7=0),"",($G7*(DE$14&lt;$I7)+$H7*(DE$14&gt;=$I7))*$C7*(1+'Property Summary'!$I$18)^(DE$13-1))</f>
        <v>111522.76607293526</v>
      </c>
      <c r="DF18" s="102">
        <f>IF(OR($B7="",$B7=0),"",($G7*(DF$14&lt;$I7)+$H7*(DF$14&gt;=$I7))*$C7*(1+'Property Summary'!$I$18)^(DF$13-1))</f>
        <v>111522.76607293526</v>
      </c>
      <c r="DG18" s="102">
        <f>IF(OR($B7="",$B7=0),"",($G7*(DG$14&lt;$I7)+$H7*(DG$14&gt;=$I7))*$C7*(1+'Property Summary'!$I$18)^(DG$13-1))</f>
        <v>113195.60756402928</v>
      </c>
      <c r="DH18" s="102">
        <f>IF(OR($B7="",$B7=0),"",($G7*(DH$14&lt;$I7)+$H7*(DH$14&gt;=$I7))*$C7*(1+'Property Summary'!$I$18)^(DH$13-1))</f>
        <v>113195.60756402928</v>
      </c>
      <c r="DI18" s="102">
        <f>IF(OR($B7="",$B7=0),"",($G7*(DI$14&lt;$I7)+$H7*(DI$14&gt;=$I7))*$C7*(1+'Property Summary'!$I$18)^(DI$13-1))</f>
        <v>113195.60756402928</v>
      </c>
      <c r="DJ18" s="102">
        <f>IF(OR($B7="",$B7=0),"",($G7*(DJ$14&lt;$I7)+$H7*(DJ$14&gt;=$I7))*$C7*(1+'Property Summary'!$I$18)^(DJ$13-1))</f>
        <v>113195.60756402928</v>
      </c>
      <c r="DK18" s="102">
        <f>IF(OR($B7="",$B7=0),"",($G7*(DK$14&lt;$I7)+$H7*(DK$14&gt;=$I7))*$C7*(1+'Property Summary'!$I$18)^(DK$13-1))</f>
        <v>113195.60756402928</v>
      </c>
      <c r="DL18" s="102">
        <f>IF(OR($B7="",$B7=0),"",($G7*(DL$14&lt;$I7)+$H7*(DL$14&gt;=$I7))*$C7*(1+'Property Summary'!$I$18)^(DL$13-1))</f>
        <v>113195.60756402928</v>
      </c>
      <c r="DM18" s="102">
        <f>IF(OR($B7="",$B7=0),"",($G7*(DM$14&lt;$I7)+$H7*(DM$14&gt;=$I7))*$C7*(1+'Property Summary'!$I$18)^(DM$13-1))</f>
        <v>113195.60756402928</v>
      </c>
      <c r="DN18" s="102">
        <f>IF(OR($B7="",$B7=0),"",($G7*(DN$14&lt;$I7)+$H7*(DN$14&gt;=$I7))*$C7*(1+'Property Summary'!$I$18)^(DN$13-1))</f>
        <v>113195.60756402928</v>
      </c>
      <c r="DO18" s="102">
        <f>IF(OR($B7="",$B7=0),"",($G7*(DO$14&lt;$I7)+$H7*(DO$14&gt;=$I7))*$C7*(1+'Property Summary'!$I$18)^(DO$13-1))</f>
        <v>113195.60756402928</v>
      </c>
      <c r="DP18" s="102">
        <f>IF(OR($B7="",$B7=0),"",($G7*(DP$14&lt;$I7)+$H7*(DP$14&gt;=$I7))*$C7*(1+'Property Summary'!$I$18)^(DP$13-1))</f>
        <v>113195.60756402928</v>
      </c>
      <c r="DQ18" s="102">
        <f>IF(OR($B7="",$B7=0),"",($G7*(DQ$14&lt;$I7)+$H7*(DQ$14&gt;=$I7))*$C7*(1+'Property Summary'!$I$18)^(DQ$13-1))</f>
        <v>113195.60756402928</v>
      </c>
      <c r="DR18" s="102">
        <f>IF(OR($B7="",$B7=0),"",($G7*(DR$14&lt;$I7)+$H7*(DR$14&gt;=$I7))*$C7*(1+'Property Summary'!$I$18)^(DR$13-1))</f>
        <v>113195.60756402928</v>
      </c>
      <c r="DS18" s="102">
        <f>IF(OR($B7="",$B7=0),"",($G7*(DS$14&lt;$I7)+$H7*(DS$14&gt;=$I7))*$C7*(1+'Property Summary'!$I$18)^(DS$13-1))</f>
        <v>114893.5416774897</v>
      </c>
      <c r="DT18" s="102">
        <f>IF(OR($B7="",$B7=0),"",($G7*(DT$14&lt;$I7)+$H7*(DT$14&gt;=$I7))*$C7*(1+'Property Summary'!$I$18)^(DT$13-1))</f>
        <v>114893.5416774897</v>
      </c>
      <c r="DU18" s="102">
        <f>IF(OR($B7="",$B7=0),"",($G7*(DU$14&lt;$I7)+$H7*(DU$14&gt;=$I7))*$C7*(1+'Property Summary'!$I$18)^(DU$13-1))</f>
        <v>114893.5416774897</v>
      </c>
      <c r="DV18" s="102">
        <f>IF(OR($B7="",$B7=0),"",($G7*(DV$14&lt;$I7)+$H7*(DV$14&gt;=$I7))*$C7*(1+'Property Summary'!$I$18)^(DV$13-1))</f>
        <v>114893.5416774897</v>
      </c>
      <c r="DW18" s="102">
        <f>IF(OR($B7="",$B7=0),"",($G7*(DW$14&lt;$I7)+$H7*(DW$14&gt;=$I7))*$C7*(1+'Property Summary'!$I$18)^(DW$13-1))</f>
        <v>114893.5416774897</v>
      </c>
      <c r="DX18" s="102">
        <f>IF(OR($B7="",$B7=0),"",($G7*(DX$14&lt;$I7)+$H7*(DX$14&gt;=$I7))*$C7*(1+'Property Summary'!$I$18)^(DX$13-1))</f>
        <v>114893.5416774897</v>
      </c>
      <c r="DY18" s="102">
        <f>IF(OR($B7="",$B7=0),"",($G7*(DY$14&lt;$I7)+$H7*(DY$14&gt;=$I7))*$C7*(1+'Property Summary'!$I$18)^(DY$13-1))</f>
        <v>114893.5416774897</v>
      </c>
      <c r="DZ18" s="102">
        <f>IF(OR($B7="",$B7=0),"",($G7*(DZ$14&lt;$I7)+$H7*(DZ$14&gt;=$I7))*$C7*(1+'Property Summary'!$I$18)^(DZ$13-1))</f>
        <v>114893.5416774897</v>
      </c>
      <c r="EA18" s="102">
        <f>IF(OR($B7="",$B7=0),"",($G7*(EA$14&lt;$I7)+$H7*(EA$14&gt;=$I7))*$C7*(1+'Property Summary'!$I$18)^(EA$13-1))</f>
        <v>114893.5416774897</v>
      </c>
      <c r="EB18" s="102">
        <f>IF(OR($B7="",$B7=0),"",($G7*(EB$14&lt;$I7)+$H7*(EB$14&gt;=$I7))*$C7*(1+'Property Summary'!$I$18)^(EB$13-1))</f>
        <v>114893.5416774897</v>
      </c>
      <c r="EC18" s="102">
        <f>IF(OR($B7="",$B7=0),"",($G7*(EC$14&lt;$I7)+$H7*(EC$14&gt;=$I7))*$C7*(1+'Property Summary'!$I$18)^(EC$13-1))</f>
        <v>114893.5416774897</v>
      </c>
      <c r="ED18" s="102">
        <f>IF(OR($B7="",$B7=0),"",($G7*(ED$14&lt;$I7)+$H7*(ED$14&gt;=$I7))*$C7*(1+'Property Summary'!$I$18)^(ED$13-1))</f>
        <v>114893.5416774897</v>
      </c>
      <c r="EE18" s="102">
        <f>IF(OR($B7="",$B7=0),"",($G7*(EE$14&lt;$I7)+$H7*(EE$14&gt;=$I7))*$C7*(1+'Property Summary'!$I$18)^(EE$13-1))</f>
        <v>116616.94480265204</v>
      </c>
      <c r="EF18" s="102">
        <f>IF(OR($B7="",$B7=0),"",($G7*(EF$14&lt;$I7)+$H7*(EF$14&gt;=$I7))*$C7*(1+'Property Summary'!$I$18)^(EF$13-1))</f>
        <v>116616.94480265204</v>
      </c>
      <c r="EG18" s="102">
        <f>IF(OR($B7="",$B7=0),"",($G7*(EG$14&lt;$I7)+$H7*(EG$14&gt;=$I7))*$C7*(1+'Property Summary'!$I$18)^(EG$13-1))</f>
        <v>116616.94480265204</v>
      </c>
      <c r="EH18" s="102">
        <f>IF(OR($B7="",$B7=0),"",($G7*(EH$14&lt;$I7)+$H7*(EH$14&gt;=$I7))*$C7*(1+'Property Summary'!$I$18)^(EH$13-1))</f>
        <v>116616.94480265204</v>
      </c>
      <c r="EI18" s="102">
        <f>IF(OR($B7="",$B7=0),"",($G7*(EI$14&lt;$I7)+$H7*(EI$14&gt;=$I7))*$C7*(1+'Property Summary'!$I$18)^(EI$13-1))</f>
        <v>116616.94480265204</v>
      </c>
      <c r="EJ18" s="102">
        <f>IF(OR($B7="",$B7=0),"",($G7*(EJ$14&lt;$I7)+$H7*(EJ$14&gt;=$I7))*$C7*(1+'Property Summary'!$I$18)^(EJ$13-1))</f>
        <v>116616.94480265204</v>
      </c>
      <c r="EK18" s="102">
        <f>IF(OR($B7="",$B7=0),"",($G7*(EK$14&lt;$I7)+$H7*(EK$14&gt;=$I7))*$C7*(1+'Property Summary'!$I$18)^(EK$13-1))</f>
        <v>116616.94480265204</v>
      </c>
      <c r="EL18" s="102">
        <f>IF(OR($B7="",$B7=0),"",($G7*(EL$14&lt;$I7)+$H7*(EL$14&gt;=$I7))*$C7*(1+'Property Summary'!$I$18)^(EL$13-1))</f>
        <v>116616.94480265204</v>
      </c>
      <c r="EM18" s="102">
        <f>IF(OR($B7="",$B7=0),"",($G7*(EM$14&lt;$I7)+$H7*(EM$14&gt;=$I7))*$C7*(1+'Property Summary'!$I$18)^(EM$13-1))</f>
        <v>116616.94480265204</v>
      </c>
      <c r="EN18" s="102">
        <f>IF(OR($B7="",$B7=0),"",($G7*(EN$14&lt;$I7)+$H7*(EN$14&gt;=$I7))*$C7*(1+'Property Summary'!$I$18)^(EN$13-1))</f>
        <v>116616.94480265204</v>
      </c>
      <c r="EO18" s="102">
        <f>IF(OR($B7="",$B7=0),"",($G7*(EO$14&lt;$I7)+$H7*(EO$14&gt;=$I7))*$C7*(1+'Property Summary'!$I$18)^(EO$13-1))</f>
        <v>116616.94480265204</v>
      </c>
      <c r="EP18" s="102">
        <f>IF(OR($B7="",$B7=0),"",($G7*(EP$14&lt;$I7)+$H7*(EP$14&gt;=$I7))*$C7*(1+'Property Summary'!$I$18)^(EP$13-1))</f>
        <v>116616.94480265204</v>
      </c>
      <c r="EQ18" s="102">
        <f>IF(OR($B7="",$B7=0),"",($G7*(EQ$14&lt;$I7)+$H7*(EQ$14&gt;=$I7))*$C7*(1+'Property Summary'!$I$18)^(EQ$13-1))</f>
        <v>118366.1989746918</v>
      </c>
      <c r="ER18" s="102">
        <f>IF(OR($B7="",$B7=0),"",($G7*(ER$14&lt;$I7)+$H7*(ER$14&gt;=$I7))*$C7*(1+'Property Summary'!$I$18)^(ER$13-1))</f>
        <v>118366.1989746918</v>
      </c>
      <c r="ES18" s="102">
        <f>IF(OR($B7="",$B7=0),"",($G7*(ES$14&lt;$I7)+$H7*(ES$14&gt;=$I7))*$C7*(1+'Property Summary'!$I$18)^(ES$13-1))</f>
        <v>118366.1989746918</v>
      </c>
      <c r="ET18" s="102">
        <f>IF(OR($B7="",$B7=0),"",($G7*(ET$14&lt;$I7)+$H7*(ET$14&gt;=$I7))*$C7*(1+'Property Summary'!$I$18)^(ET$13-1))</f>
        <v>118366.1989746918</v>
      </c>
      <c r="EU18" s="102">
        <f>IF(OR($B7="",$B7=0),"",($G7*(EU$14&lt;$I7)+$H7*(EU$14&gt;=$I7))*$C7*(1+'Property Summary'!$I$18)^(EU$13-1))</f>
        <v>118366.1989746918</v>
      </c>
      <c r="EV18" s="102">
        <f>IF(OR($B7="",$B7=0),"",($G7*(EV$14&lt;$I7)+$H7*(EV$14&gt;=$I7))*$C7*(1+'Property Summary'!$I$18)^(EV$13-1))</f>
        <v>118366.1989746918</v>
      </c>
      <c r="EW18" s="102">
        <f>IF(OR($B7="",$B7=0),"",($G7*(EW$14&lt;$I7)+$H7*(EW$14&gt;=$I7))*$C7*(1+'Property Summary'!$I$18)^(EW$13-1))</f>
        <v>118366.1989746918</v>
      </c>
      <c r="EX18" s="102">
        <f>IF(OR($B7="",$B7=0),"",($G7*(EX$14&lt;$I7)+$H7*(EX$14&gt;=$I7))*$C7*(1+'Property Summary'!$I$18)^(EX$13-1))</f>
        <v>118366.1989746918</v>
      </c>
      <c r="EY18" s="102">
        <f>IF(OR($B7="",$B7=0),"",($G7*(EY$14&lt;$I7)+$H7*(EY$14&gt;=$I7))*$C7*(1+'Property Summary'!$I$18)^(EY$13-1))</f>
        <v>118366.1989746918</v>
      </c>
      <c r="EZ18" s="102">
        <f>IF(OR($B7="",$B7=0),"",($G7*(EZ$14&lt;$I7)+$H7*(EZ$14&gt;=$I7))*$C7*(1+'Property Summary'!$I$18)^(EZ$13-1))</f>
        <v>118366.1989746918</v>
      </c>
      <c r="FA18" s="102">
        <f>IF(OR($B7="",$B7=0),"",($G7*(FA$14&lt;$I7)+$H7*(FA$14&gt;=$I7))*$C7*(1+'Property Summary'!$I$18)^(FA$13-1))</f>
        <v>118366.1989746918</v>
      </c>
      <c r="FB18" s="102">
        <f>IF(OR($B7="",$B7=0),"",($G7*(FB$14&lt;$I7)+$H7*(FB$14&gt;=$I7))*$C7*(1+'Property Summary'!$I$18)^(FB$13-1))</f>
        <v>118366.1989746918</v>
      </c>
      <c r="FC18" s="102">
        <f>IF(OR($B7="",$B7=0),"",($G7*(FC$14&lt;$I7)+$H7*(FC$14&gt;=$I7))*$C7*(1+'Property Summary'!$I$18)^(FC$13-1))</f>
        <v>120141.69195931216</v>
      </c>
      <c r="FD18" s="102">
        <f>IF(OR($B7="",$B7=0),"",($G7*(FD$14&lt;$I7)+$H7*(FD$14&gt;=$I7))*$C7*(1+'Property Summary'!$I$18)^(FD$13-1))</f>
        <v>120141.69195931216</v>
      </c>
      <c r="FE18" s="102">
        <f>IF(OR($B7="",$B7=0),"",($G7*(FE$14&lt;$I7)+$H7*(FE$14&gt;=$I7))*$C7*(1+'Property Summary'!$I$18)^(FE$13-1))</f>
        <v>120141.69195931216</v>
      </c>
      <c r="FF18" s="102">
        <f>IF(OR($B7="",$B7=0),"",($G7*(FF$14&lt;$I7)+$H7*(FF$14&gt;=$I7))*$C7*(1+'Property Summary'!$I$18)^(FF$13-1))</f>
        <v>120141.69195931216</v>
      </c>
      <c r="FG18" s="102">
        <f>IF(OR($B7="",$B7=0),"",($G7*(FG$14&lt;$I7)+$H7*(FG$14&gt;=$I7))*$C7*(1+'Property Summary'!$I$18)^(FG$13-1))</f>
        <v>120141.69195931216</v>
      </c>
      <c r="FH18" s="102">
        <f>IF(OR($B7="",$B7=0),"",($G7*(FH$14&lt;$I7)+$H7*(FH$14&gt;=$I7))*$C7*(1+'Property Summary'!$I$18)^(FH$13-1))</f>
        <v>120141.69195931216</v>
      </c>
      <c r="FI18" s="102">
        <f>IF(OR($B7="",$B7=0),"",($G7*(FI$14&lt;$I7)+$H7*(FI$14&gt;=$I7))*$C7*(1+'Property Summary'!$I$18)^(FI$13-1))</f>
        <v>120141.69195931216</v>
      </c>
      <c r="FJ18" s="102">
        <f>IF(OR($B7="",$B7=0),"",($G7*(FJ$14&lt;$I7)+$H7*(FJ$14&gt;=$I7))*$C7*(1+'Property Summary'!$I$18)^(FJ$13-1))</f>
        <v>120141.69195931216</v>
      </c>
      <c r="FK18" s="102">
        <f>IF(OR($B7="",$B7=0),"",($G7*(FK$14&lt;$I7)+$H7*(FK$14&gt;=$I7))*$C7*(1+'Property Summary'!$I$18)^(FK$13-1))</f>
        <v>120141.69195931216</v>
      </c>
      <c r="FL18" s="102">
        <f>IF(OR($B7="",$B7=0),"",($G7*(FL$14&lt;$I7)+$H7*(FL$14&gt;=$I7))*$C7*(1+'Property Summary'!$I$18)^(FL$13-1))</f>
        <v>120141.69195931216</v>
      </c>
      <c r="FM18" s="102">
        <f>IF(OR($B7="",$B7=0),"",($G7*(FM$14&lt;$I7)+$H7*(FM$14&gt;=$I7))*$C7*(1+'Property Summary'!$I$18)^(FM$13-1))</f>
        <v>120141.69195931216</v>
      </c>
      <c r="FN18" s="102">
        <f>IF(OR($B7="",$B7=0),"",($G7*(FN$14&lt;$I7)+$H7*(FN$14&gt;=$I7))*$C7*(1+'Property Summary'!$I$18)^(FN$13-1))</f>
        <v>120141.69195931216</v>
      </c>
      <c r="FO18" s="102">
        <f>IF(OR($B7="",$B7=0),"",($G7*(FO$14&lt;$I7)+$H7*(FO$14&gt;=$I7))*$C7*(1+'Property Summary'!$I$18)^(FO$13-1))</f>
        <v>121943.81733870182</v>
      </c>
      <c r="FP18" s="102">
        <f>IF(OR($B7="",$B7=0),"",($G7*(FP$14&lt;$I7)+$H7*(FP$14&gt;=$I7))*$C7*(1+'Property Summary'!$I$18)^(FP$13-1))</f>
        <v>121943.81733870182</v>
      </c>
      <c r="FQ18" s="102">
        <f>IF(OR($B7="",$B7=0),"",($G7*(FQ$14&lt;$I7)+$H7*(FQ$14&gt;=$I7))*$C7*(1+'Property Summary'!$I$18)^(FQ$13-1))</f>
        <v>121943.81733870182</v>
      </c>
      <c r="FR18" s="102">
        <f>IF(OR($B7="",$B7=0),"",($G7*(FR$14&lt;$I7)+$H7*(FR$14&gt;=$I7))*$C7*(1+'Property Summary'!$I$18)^(FR$13-1))</f>
        <v>121943.81733870182</v>
      </c>
      <c r="FS18" s="102">
        <f>IF(OR($B7="",$B7=0),"",($G7*(FS$14&lt;$I7)+$H7*(FS$14&gt;=$I7))*$C7*(1+'Property Summary'!$I$18)^(FS$13-1))</f>
        <v>121943.81733870182</v>
      </c>
      <c r="FT18" s="102">
        <f>IF(OR($B7="",$B7=0),"",($G7*(FT$14&lt;$I7)+$H7*(FT$14&gt;=$I7))*$C7*(1+'Property Summary'!$I$18)^(FT$13-1))</f>
        <v>121943.81733870182</v>
      </c>
      <c r="FU18" s="102">
        <f>IF(OR($B7="",$B7=0),"",($G7*(FU$14&lt;$I7)+$H7*(FU$14&gt;=$I7))*$C7*(1+'Property Summary'!$I$18)^(FU$13-1))</f>
        <v>121943.81733870182</v>
      </c>
      <c r="FV18" s="102">
        <f>IF(OR($B7="",$B7=0),"",($G7*(FV$14&lt;$I7)+$H7*(FV$14&gt;=$I7))*$C7*(1+'Property Summary'!$I$18)^(FV$13-1))</f>
        <v>121943.81733870182</v>
      </c>
      <c r="FW18" s="102">
        <f>IF(OR($B7="",$B7=0),"",($G7*(FW$14&lt;$I7)+$H7*(FW$14&gt;=$I7))*$C7*(1+'Property Summary'!$I$18)^(FW$13-1))</f>
        <v>121943.81733870182</v>
      </c>
      <c r="FX18" s="102">
        <f>IF(OR($B7="",$B7=0),"",($G7*(FX$14&lt;$I7)+$H7*(FX$14&gt;=$I7))*$C7*(1+'Property Summary'!$I$18)^(FX$13-1))</f>
        <v>121943.81733870182</v>
      </c>
      <c r="FY18" s="102">
        <f>IF(OR($B7="",$B7=0),"",($G7*(FY$14&lt;$I7)+$H7*(FY$14&gt;=$I7))*$C7*(1+'Property Summary'!$I$18)^(FY$13-1))</f>
        <v>121943.81733870182</v>
      </c>
      <c r="FZ18" s="103">
        <f>IF(OR($B7="",$B7=0),"",($G7*(FZ$14&lt;$I7)+$H7*(FZ$14&gt;=$I7))*$C7*(1+'Property Summary'!$I$18)^(FZ$13-1))</f>
        <v>121943.81733870182</v>
      </c>
    </row>
    <row r="19" spans="2:182" x14ac:dyDescent="0.2">
      <c r="B19" s="4"/>
      <c r="C19" s="102">
        <f>IF(OR($B8="",$B8=0),"",($G8*(C$14&lt;$I8)+$H8*(C$14&gt;=$I8))*$C8*(1+'Property Summary'!$I$18)^(C$13-1))</f>
        <v>43200</v>
      </c>
      <c r="D19" s="102">
        <f>IF(OR($B8="",$B8=0),"",($G8*(D$14&lt;$I8)+$H8*(D$14&gt;=$I8))*$C8*(1+'Property Summary'!$I$18)^(D$13-1))</f>
        <v>43200</v>
      </c>
      <c r="E19" s="102">
        <f>IF(OR($B8="",$B8=0),"",($G8*(E$14&lt;$I8)+$H8*(E$14&gt;=$I8))*$C8*(1+'Property Summary'!$I$18)^(E$13-1))</f>
        <v>43200</v>
      </c>
      <c r="F19" s="102">
        <f>IF(OR($B8="",$B8=0),"",($G8*(F$14&lt;$I8)+$H8*(F$14&gt;=$I8))*$C8*(1+'Property Summary'!$I$18)^(F$13-1))</f>
        <v>43200</v>
      </c>
      <c r="G19" s="102">
        <f>IF(OR($B8="",$B8=0),"",($G8*(G$14&lt;$I8)+$H8*(G$14&gt;=$I8))*$C8*(1+'Property Summary'!$I$18)^(G$13-1))</f>
        <v>43200</v>
      </c>
      <c r="H19" s="102">
        <f>IF(OR($B8="",$B8=0),"",($G8*(H$14&lt;$I8)+$H8*(H$14&gt;=$I8))*$C8*(1+'Property Summary'!$I$18)^(H$13-1))</f>
        <v>43200</v>
      </c>
      <c r="I19" s="102">
        <f>IF(OR($B8="",$B8=0),"",($G8*(I$14&lt;$I8)+$H8*(I$14&gt;=$I8))*$C8*(1+'Property Summary'!$I$18)^(I$13-1))</f>
        <v>43200</v>
      </c>
      <c r="J19" s="102">
        <f>IF(OR($B8="",$B8=0),"",($G8*(J$14&lt;$I8)+$H8*(J$14&gt;=$I8))*$C8*(1+'Property Summary'!$I$18)^(J$13-1))</f>
        <v>43200</v>
      </c>
      <c r="K19" s="102">
        <f>IF(OR($B8="",$B8=0),"",($G8*(K$14&lt;$I8)+$H8*(K$14&gt;=$I8))*$C8*(1+'Property Summary'!$I$18)^(K$13-1))</f>
        <v>43200</v>
      </c>
      <c r="L19" s="102">
        <f>IF(OR($B8="",$B8=0),"",($G8*(L$14&lt;$I8)+$H8*(L$14&gt;=$I8))*$C8*(1+'Property Summary'!$I$18)^(L$13-1))</f>
        <v>43200</v>
      </c>
      <c r="M19" s="102">
        <f>IF(OR($B8="",$B8=0),"",($G8*(M$14&lt;$I8)+$H8*(M$14&gt;=$I8))*$C8*(1+'Property Summary'!$I$18)^(M$13-1))</f>
        <v>43200</v>
      </c>
      <c r="N19" s="102">
        <f>IF(OR($B8="",$B8=0),"",($G8*(N$14&lt;$I8)+$H8*(N$14&gt;=$I8))*$C8*(1+'Property Summary'!$I$18)^(N$13-1))</f>
        <v>43200</v>
      </c>
      <c r="O19" s="102">
        <f>IF(OR($B8="",$B8=0),"",($G8*(O$14&lt;$I8)+$H8*(O$14&gt;=$I8))*$C8*(1+'Property Summary'!$I$18)^(O$13-1))</f>
        <v>43847.999999999993</v>
      </c>
      <c r="P19" s="102">
        <f>IF(OR($B8="",$B8=0),"",($G8*(P$14&lt;$I8)+$H8*(P$14&gt;=$I8))*$C8*(1+'Property Summary'!$I$18)^(P$13-1))</f>
        <v>44659.999999999993</v>
      </c>
      <c r="Q19" s="102">
        <f>IF(OR($B8="",$B8=0),"",($G8*(Q$14&lt;$I8)+$H8*(Q$14&gt;=$I8))*$C8*(1+'Property Summary'!$I$18)^(Q$13-1))</f>
        <v>44659.999999999993</v>
      </c>
      <c r="R19" s="102">
        <f>IF(OR($B8="",$B8=0),"",($G8*(R$14&lt;$I8)+$H8*(R$14&gt;=$I8))*$C8*(1+'Property Summary'!$I$18)^(R$13-1))</f>
        <v>44659.999999999993</v>
      </c>
      <c r="S19" s="102">
        <f>IF(OR($B8="",$B8=0),"",($G8*(S$14&lt;$I8)+$H8*(S$14&gt;=$I8))*$C8*(1+'Property Summary'!$I$18)^(S$13-1))</f>
        <v>44659.999999999993</v>
      </c>
      <c r="T19" s="102">
        <f>IF(OR($B8="",$B8=0),"",($G8*(T$14&lt;$I8)+$H8*(T$14&gt;=$I8))*$C8*(1+'Property Summary'!$I$18)^(T$13-1))</f>
        <v>44659.999999999993</v>
      </c>
      <c r="U19" s="102">
        <f>IF(OR($B8="",$B8=0),"",($G8*(U$14&lt;$I8)+$H8*(U$14&gt;=$I8))*$C8*(1+'Property Summary'!$I$18)^(U$13-1))</f>
        <v>44659.999999999993</v>
      </c>
      <c r="V19" s="102">
        <f>IF(OR($B8="",$B8=0),"",($G8*(V$14&lt;$I8)+$H8*(V$14&gt;=$I8))*$C8*(1+'Property Summary'!$I$18)^(V$13-1))</f>
        <v>44659.999999999993</v>
      </c>
      <c r="W19" s="102">
        <f>IF(OR($B8="",$B8=0),"",($G8*(W$14&lt;$I8)+$H8*(W$14&gt;=$I8))*$C8*(1+'Property Summary'!$I$18)^(W$13-1))</f>
        <v>44659.999999999993</v>
      </c>
      <c r="X19" s="102">
        <f>IF(OR($B8="",$B8=0),"",($G8*(X$14&lt;$I8)+$H8*(X$14&gt;=$I8))*$C8*(1+'Property Summary'!$I$18)^(X$13-1))</f>
        <v>44659.999999999993</v>
      </c>
      <c r="Y19" s="102">
        <f>IF(OR($B8="",$B8=0),"",($G8*(Y$14&lt;$I8)+$H8*(Y$14&gt;=$I8))*$C8*(1+'Property Summary'!$I$18)^(Y$13-1))</f>
        <v>44659.999999999993</v>
      </c>
      <c r="Z19" s="102">
        <f>IF(OR($B8="",$B8=0),"",($G8*(Z$14&lt;$I8)+$H8*(Z$14&gt;=$I8))*$C8*(1+'Property Summary'!$I$18)^(Z$13-1))</f>
        <v>44659.999999999993</v>
      </c>
      <c r="AA19" s="102">
        <f>IF(OR($B8="",$B8=0),"",($G8*(AA$14&lt;$I8)+$H8*(AA$14&gt;=$I8))*$C8*(1+'Property Summary'!$I$18)^(AA$13-1))</f>
        <v>45329.899999999987</v>
      </c>
      <c r="AB19" s="102">
        <f>IF(OR($B8="",$B8=0),"",($G8*(AB$14&lt;$I8)+$H8*(AB$14&gt;=$I8))*$C8*(1+'Property Summary'!$I$18)^(AB$13-1))</f>
        <v>45329.899999999987</v>
      </c>
      <c r="AC19" s="102">
        <f>IF(OR($B8="",$B8=0),"",($G8*(AC$14&lt;$I8)+$H8*(AC$14&gt;=$I8))*$C8*(1+'Property Summary'!$I$18)^(AC$13-1))</f>
        <v>45329.899999999987</v>
      </c>
      <c r="AD19" s="102">
        <f>IF(OR($B8="",$B8=0),"",($G8*(AD$14&lt;$I8)+$H8*(AD$14&gt;=$I8))*$C8*(1+'Property Summary'!$I$18)^(AD$13-1))</f>
        <v>45329.899999999987</v>
      </c>
      <c r="AE19" s="102">
        <f>IF(OR($B8="",$B8=0),"",($G8*(AE$14&lt;$I8)+$H8*(AE$14&gt;=$I8))*$C8*(1+'Property Summary'!$I$18)^(AE$13-1))</f>
        <v>45329.899999999987</v>
      </c>
      <c r="AF19" s="102">
        <f>IF(OR($B8="",$B8=0),"",($G8*(AF$14&lt;$I8)+$H8*(AF$14&gt;=$I8))*$C8*(1+'Property Summary'!$I$18)^(AF$13-1))</f>
        <v>45329.899999999987</v>
      </c>
      <c r="AG19" s="102">
        <f>IF(OR($B8="",$B8=0),"",($G8*(AG$14&lt;$I8)+$H8*(AG$14&gt;=$I8))*$C8*(1+'Property Summary'!$I$18)^(AG$13-1))</f>
        <v>45329.899999999987</v>
      </c>
      <c r="AH19" s="102">
        <f>IF(OR($B8="",$B8=0),"",($G8*(AH$14&lt;$I8)+$H8*(AH$14&gt;=$I8))*$C8*(1+'Property Summary'!$I$18)^(AH$13-1))</f>
        <v>45329.899999999987</v>
      </c>
      <c r="AI19" s="102">
        <f>IF(OR($B8="",$B8=0),"",($G8*(AI$14&lt;$I8)+$H8*(AI$14&gt;=$I8))*$C8*(1+'Property Summary'!$I$18)^(AI$13-1))</f>
        <v>45329.899999999987</v>
      </c>
      <c r="AJ19" s="102">
        <f>IF(OR($B8="",$B8=0),"",($G8*(AJ$14&lt;$I8)+$H8*(AJ$14&gt;=$I8))*$C8*(1+'Property Summary'!$I$18)^(AJ$13-1))</f>
        <v>45329.899999999987</v>
      </c>
      <c r="AK19" s="102">
        <f>IF(OR($B8="",$B8=0),"",($G8*(AK$14&lt;$I8)+$H8*(AK$14&gt;=$I8))*$C8*(1+'Property Summary'!$I$18)^(AK$13-1))</f>
        <v>45329.899999999987</v>
      </c>
      <c r="AL19" s="102">
        <f>IF(OR($B8="",$B8=0),"",($G8*(AL$14&lt;$I8)+$H8*(AL$14&gt;=$I8))*$C8*(1+'Property Summary'!$I$18)^(AL$13-1))</f>
        <v>45329.899999999987</v>
      </c>
      <c r="AM19" s="102">
        <f>IF(OR($B8="",$B8=0),"",($G8*(AM$14&lt;$I8)+$H8*(AM$14&gt;=$I8))*$C8*(1+'Property Summary'!$I$18)^(AM$13-1))</f>
        <v>46009.848499999986</v>
      </c>
      <c r="AN19" s="102">
        <f>IF(OR($B8="",$B8=0),"",($G8*(AN$14&lt;$I8)+$H8*(AN$14&gt;=$I8))*$C8*(1+'Property Summary'!$I$18)^(AN$13-1))</f>
        <v>46009.848499999986</v>
      </c>
      <c r="AO19" s="102">
        <f>IF(OR($B8="",$B8=0),"",($G8*(AO$14&lt;$I8)+$H8*(AO$14&gt;=$I8))*$C8*(1+'Property Summary'!$I$18)^(AO$13-1))</f>
        <v>46009.848499999986</v>
      </c>
      <c r="AP19" s="102">
        <f>IF(OR($B8="",$B8=0),"",($G8*(AP$14&lt;$I8)+$H8*(AP$14&gt;=$I8))*$C8*(1+'Property Summary'!$I$18)^(AP$13-1))</f>
        <v>46009.848499999986</v>
      </c>
      <c r="AQ19" s="102">
        <f>IF(OR($B8="",$B8=0),"",($G8*(AQ$14&lt;$I8)+$H8*(AQ$14&gt;=$I8))*$C8*(1+'Property Summary'!$I$18)^(AQ$13-1))</f>
        <v>46009.848499999986</v>
      </c>
      <c r="AR19" s="102">
        <f>IF(OR($B8="",$B8=0),"",($G8*(AR$14&lt;$I8)+$H8*(AR$14&gt;=$I8))*$C8*(1+'Property Summary'!$I$18)^(AR$13-1))</f>
        <v>46009.848499999986</v>
      </c>
      <c r="AS19" s="102">
        <f>IF(OR($B8="",$B8=0),"",($G8*(AS$14&lt;$I8)+$H8*(AS$14&gt;=$I8))*$C8*(1+'Property Summary'!$I$18)^(AS$13-1))</f>
        <v>46009.848499999986</v>
      </c>
      <c r="AT19" s="102">
        <f>IF(OR($B8="",$B8=0),"",($G8*(AT$14&lt;$I8)+$H8*(AT$14&gt;=$I8))*$C8*(1+'Property Summary'!$I$18)^(AT$13-1))</f>
        <v>46009.848499999986</v>
      </c>
      <c r="AU19" s="102">
        <f>IF(OR($B8="",$B8=0),"",($G8*(AU$14&lt;$I8)+$H8*(AU$14&gt;=$I8))*$C8*(1+'Property Summary'!$I$18)^(AU$13-1))</f>
        <v>46009.848499999986</v>
      </c>
      <c r="AV19" s="102">
        <f>IF(OR($B8="",$B8=0),"",($G8*(AV$14&lt;$I8)+$H8*(AV$14&gt;=$I8))*$C8*(1+'Property Summary'!$I$18)^(AV$13-1))</f>
        <v>46009.848499999986</v>
      </c>
      <c r="AW19" s="102">
        <f>IF(OR($B8="",$B8=0),"",($G8*(AW$14&lt;$I8)+$H8*(AW$14&gt;=$I8))*$C8*(1+'Property Summary'!$I$18)^(AW$13-1))</f>
        <v>46009.848499999986</v>
      </c>
      <c r="AX19" s="102">
        <f>IF(OR($B8="",$B8=0),"",($G8*(AX$14&lt;$I8)+$H8*(AX$14&gt;=$I8))*$C8*(1+'Property Summary'!$I$18)^(AX$13-1))</f>
        <v>46009.848499999986</v>
      </c>
      <c r="AY19" s="102">
        <f>IF(OR($B8="",$B8=0),"",($G8*(AY$14&lt;$I8)+$H8*(AY$14&gt;=$I8))*$C8*(1+'Property Summary'!$I$18)^(AY$13-1))</f>
        <v>46699.996227499978</v>
      </c>
      <c r="AZ19" s="102">
        <f>IF(OR($B8="",$B8=0),"",($G8*(AZ$14&lt;$I8)+$H8*(AZ$14&gt;=$I8))*$C8*(1+'Property Summary'!$I$18)^(AZ$13-1))</f>
        <v>46699.996227499978</v>
      </c>
      <c r="BA19" s="102">
        <f>IF(OR($B8="",$B8=0),"",($G8*(BA$14&lt;$I8)+$H8*(BA$14&gt;=$I8))*$C8*(1+'Property Summary'!$I$18)^(BA$13-1))</f>
        <v>46699.996227499978</v>
      </c>
      <c r="BB19" s="102">
        <f>IF(OR($B8="",$B8=0),"",($G8*(BB$14&lt;$I8)+$H8*(BB$14&gt;=$I8))*$C8*(1+'Property Summary'!$I$18)^(BB$13-1))</f>
        <v>46699.996227499978</v>
      </c>
      <c r="BC19" s="102">
        <f>IF(OR($B8="",$B8=0),"",($G8*(BC$14&lt;$I8)+$H8*(BC$14&gt;=$I8))*$C8*(1+'Property Summary'!$I$18)^(BC$13-1))</f>
        <v>46699.996227499978</v>
      </c>
      <c r="BD19" s="102">
        <f>IF(OR($B8="",$B8=0),"",($G8*(BD$14&lt;$I8)+$H8*(BD$14&gt;=$I8))*$C8*(1+'Property Summary'!$I$18)^(BD$13-1))</f>
        <v>46699.996227499978</v>
      </c>
      <c r="BE19" s="102">
        <f>IF(OR($B8="",$B8=0),"",($G8*(BE$14&lt;$I8)+$H8*(BE$14&gt;=$I8))*$C8*(1+'Property Summary'!$I$18)^(BE$13-1))</f>
        <v>46699.996227499978</v>
      </c>
      <c r="BF19" s="102">
        <f>IF(OR($B8="",$B8=0),"",($G8*(BF$14&lt;$I8)+$H8*(BF$14&gt;=$I8))*$C8*(1+'Property Summary'!$I$18)^(BF$13-1))</f>
        <v>46699.996227499978</v>
      </c>
      <c r="BG19" s="102">
        <f>IF(OR($B8="",$B8=0),"",($G8*(BG$14&lt;$I8)+$H8*(BG$14&gt;=$I8))*$C8*(1+'Property Summary'!$I$18)^(BG$13-1))</f>
        <v>46699.996227499978</v>
      </c>
      <c r="BH19" s="102">
        <f>IF(OR($B8="",$B8=0),"",($G8*(BH$14&lt;$I8)+$H8*(BH$14&gt;=$I8))*$C8*(1+'Property Summary'!$I$18)^(BH$13-1))</f>
        <v>46699.996227499978</v>
      </c>
      <c r="BI19" s="102">
        <f>IF(OR($B8="",$B8=0),"",($G8*(BI$14&lt;$I8)+$H8*(BI$14&gt;=$I8))*$C8*(1+'Property Summary'!$I$18)^(BI$13-1))</f>
        <v>46699.996227499978</v>
      </c>
      <c r="BJ19" s="102">
        <f>IF(OR($B8="",$B8=0),"",($G8*(BJ$14&lt;$I8)+$H8*(BJ$14&gt;=$I8))*$C8*(1+'Property Summary'!$I$18)^(BJ$13-1))</f>
        <v>46699.996227499978</v>
      </c>
      <c r="BK19" s="102">
        <f>IF(OR($B8="",$B8=0),"",($G8*(BK$14&lt;$I8)+$H8*(BK$14&gt;=$I8))*$C8*(1+'Property Summary'!$I$18)^(BK$13-1))</f>
        <v>47400.496170912469</v>
      </c>
      <c r="BL19" s="102">
        <f>IF(OR($B8="",$B8=0),"",($G8*(BL$14&lt;$I8)+$H8*(BL$14&gt;=$I8))*$C8*(1+'Property Summary'!$I$18)^(BL$13-1))</f>
        <v>47400.496170912469</v>
      </c>
      <c r="BM19" s="102">
        <f>IF(OR($B8="",$B8=0),"",($G8*(BM$14&lt;$I8)+$H8*(BM$14&gt;=$I8))*$C8*(1+'Property Summary'!$I$18)^(BM$13-1))</f>
        <v>47400.496170912469</v>
      </c>
      <c r="BN19" s="102">
        <f>IF(OR($B8="",$B8=0),"",($G8*(BN$14&lt;$I8)+$H8*(BN$14&gt;=$I8))*$C8*(1+'Property Summary'!$I$18)^(BN$13-1))</f>
        <v>47400.496170912469</v>
      </c>
      <c r="BO19" s="102">
        <f>IF(OR($B8="",$B8=0),"",($G8*(BO$14&lt;$I8)+$H8*(BO$14&gt;=$I8))*$C8*(1+'Property Summary'!$I$18)^(BO$13-1))</f>
        <v>47400.496170912469</v>
      </c>
      <c r="BP19" s="102">
        <f>IF(OR($B8="",$B8=0),"",($G8*(BP$14&lt;$I8)+$H8*(BP$14&gt;=$I8))*$C8*(1+'Property Summary'!$I$18)^(BP$13-1))</f>
        <v>47400.496170912469</v>
      </c>
      <c r="BQ19" s="102">
        <f>IF(OR($B8="",$B8=0),"",($G8*(BQ$14&lt;$I8)+$H8*(BQ$14&gt;=$I8))*$C8*(1+'Property Summary'!$I$18)^(BQ$13-1))</f>
        <v>47400.496170912469</v>
      </c>
      <c r="BR19" s="102">
        <f>IF(OR($B8="",$B8=0),"",($G8*(BR$14&lt;$I8)+$H8*(BR$14&gt;=$I8))*$C8*(1+'Property Summary'!$I$18)^(BR$13-1))</f>
        <v>47400.496170912469</v>
      </c>
      <c r="BS19" s="102">
        <f>IF(OR($B8="",$B8=0),"",($G8*(BS$14&lt;$I8)+$H8*(BS$14&gt;=$I8))*$C8*(1+'Property Summary'!$I$18)^(BS$13-1))</f>
        <v>47400.496170912469</v>
      </c>
      <c r="BT19" s="102">
        <f>IF(OR($B8="",$B8=0),"",($G8*(BT$14&lt;$I8)+$H8*(BT$14&gt;=$I8))*$C8*(1+'Property Summary'!$I$18)^(BT$13-1))</f>
        <v>47400.496170912469</v>
      </c>
      <c r="BU19" s="102">
        <f>IF(OR($B8="",$B8=0),"",($G8*(BU$14&lt;$I8)+$H8*(BU$14&gt;=$I8))*$C8*(1+'Property Summary'!$I$18)^(BU$13-1))</f>
        <v>47400.496170912469</v>
      </c>
      <c r="BV19" s="102">
        <f>IF(OR($B8="",$B8=0),"",($G8*(BV$14&lt;$I8)+$H8*(BV$14&gt;=$I8))*$C8*(1+'Property Summary'!$I$18)^(BV$13-1))</f>
        <v>47400.496170912469</v>
      </c>
      <c r="BW19" s="102">
        <f>IF(OR($B8="",$B8=0),"",($G8*(BW$14&lt;$I8)+$H8*(BW$14&gt;=$I8))*$C8*(1+'Property Summary'!$I$18)^(BW$13-1))</f>
        <v>48111.503613476147</v>
      </c>
      <c r="BX19" s="102">
        <f>IF(OR($B8="",$B8=0),"",($G8*(BX$14&lt;$I8)+$H8*(BX$14&gt;=$I8))*$C8*(1+'Property Summary'!$I$18)^(BX$13-1))</f>
        <v>48111.503613476147</v>
      </c>
      <c r="BY19" s="102">
        <f>IF(OR($B8="",$B8=0),"",($G8*(BY$14&lt;$I8)+$H8*(BY$14&gt;=$I8))*$C8*(1+'Property Summary'!$I$18)^(BY$13-1))</f>
        <v>48111.503613476147</v>
      </c>
      <c r="BZ19" s="102">
        <f>IF(OR($B8="",$B8=0),"",($G8*(BZ$14&lt;$I8)+$H8*(BZ$14&gt;=$I8))*$C8*(1+'Property Summary'!$I$18)^(BZ$13-1))</f>
        <v>48111.503613476147</v>
      </c>
      <c r="CA19" s="102">
        <f>IF(OR($B8="",$B8=0),"",($G8*(CA$14&lt;$I8)+$H8*(CA$14&gt;=$I8))*$C8*(1+'Property Summary'!$I$18)^(CA$13-1))</f>
        <v>48111.503613476147</v>
      </c>
      <c r="CB19" s="102">
        <f>IF(OR($B8="",$B8=0),"",($G8*(CB$14&lt;$I8)+$H8*(CB$14&gt;=$I8))*$C8*(1+'Property Summary'!$I$18)^(CB$13-1))</f>
        <v>48111.503613476147</v>
      </c>
      <c r="CC19" s="102">
        <f>IF(OR($B8="",$B8=0),"",($G8*(CC$14&lt;$I8)+$H8*(CC$14&gt;=$I8))*$C8*(1+'Property Summary'!$I$18)^(CC$13-1))</f>
        <v>48111.503613476147</v>
      </c>
      <c r="CD19" s="102">
        <f>IF(OR($B8="",$B8=0),"",($G8*(CD$14&lt;$I8)+$H8*(CD$14&gt;=$I8))*$C8*(1+'Property Summary'!$I$18)^(CD$13-1))</f>
        <v>48111.503613476147</v>
      </c>
      <c r="CE19" s="102">
        <f>IF(OR($B8="",$B8=0),"",($G8*(CE$14&lt;$I8)+$H8*(CE$14&gt;=$I8))*$C8*(1+'Property Summary'!$I$18)^(CE$13-1))</f>
        <v>48111.503613476147</v>
      </c>
      <c r="CF19" s="102">
        <f>IF(OR($B8="",$B8=0),"",($G8*(CF$14&lt;$I8)+$H8*(CF$14&gt;=$I8))*$C8*(1+'Property Summary'!$I$18)^(CF$13-1))</f>
        <v>48111.503613476147</v>
      </c>
      <c r="CG19" s="102">
        <f>IF(OR($B8="",$B8=0),"",($G8*(CG$14&lt;$I8)+$H8*(CG$14&gt;=$I8))*$C8*(1+'Property Summary'!$I$18)^(CG$13-1))</f>
        <v>48111.503613476147</v>
      </c>
      <c r="CH19" s="102">
        <f>IF(OR($B8="",$B8=0),"",($G8*(CH$14&lt;$I8)+$H8*(CH$14&gt;=$I8))*$C8*(1+'Property Summary'!$I$18)^(CH$13-1))</f>
        <v>48111.503613476147</v>
      </c>
      <c r="CI19" s="102">
        <f>IF(OR($B8="",$B8=0),"",($G8*(CI$14&lt;$I8)+$H8*(CI$14&gt;=$I8))*$C8*(1+'Property Summary'!$I$18)^(CI$13-1))</f>
        <v>48833.176167678284</v>
      </c>
      <c r="CJ19" s="102">
        <f>IF(OR($B8="",$B8=0),"",($G8*(CJ$14&lt;$I8)+$H8*(CJ$14&gt;=$I8))*$C8*(1+'Property Summary'!$I$18)^(CJ$13-1))</f>
        <v>48833.176167678284</v>
      </c>
      <c r="CK19" s="102">
        <f>IF(OR($B8="",$B8=0),"",($G8*(CK$14&lt;$I8)+$H8*(CK$14&gt;=$I8))*$C8*(1+'Property Summary'!$I$18)^(CK$13-1))</f>
        <v>48833.176167678284</v>
      </c>
      <c r="CL19" s="102">
        <f>IF(OR($B8="",$B8=0),"",($G8*(CL$14&lt;$I8)+$H8*(CL$14&gt;=$I8))*$C8*(1+'Property Summary'!$I$18)^(CL$13-1))</f>
        <v>48833.176167678284</v>
      </c>
      <c r="CM19" s="102">
        <f>IF(OR($B8="",$B8=0),"",($G8*(CM$14&lt;$I8)+$H8*(CM$14&gt;=$I8))*$C8*(1+'Property Summary'!$I$18)^(CM$13-1))</f>
        <v>48833.176167678284</v>
      </c>
      <c r="CN19" s="102">
        <f>IF(OR($B8="",$B8=0),"",($G8*(CN$14&lt;$I8)+$H8*(CN$14&gt;=$I8))*$C8*(1+'Property Summary'!$I$18)^(CN$13-1))</f>
        <v>48833.176167678284</v>
      </c>
      <c r="CO19" s="102">
        <f>IF(OR($B8="",$B8=0),"",($G8*(CO$14&lt;$I8)+$H8*(CO$14&gt;=$I8))*$C8*(1+'Property Summary'!$I$18)^(CO$13-1))</f>
        <v>48833.176167678284</v>
      </c>
      <c r="CP19" s="102">
        <f>IF(OR($B8="",$B8=0),"",($G8*(CP$14&lt;$I8)+$H8*(CP$14&gt;=$I8))*$C8*(1+'Property Summary'!$I$18)^(CP$13-1))</f>
        <v>48833.176167678284</v>
      </c>
      <c r="CQ19" s="102">
        <f>IF(OR($B8="",$B8=0),"",($G8*(CQ$14&lt;$I8)+$H8*(CQ$14&gt;=$I8))*$C8*(1+'Property Summary'!$I$18)^(CQ$13-1))</f>
        <v>48833.176167678284</v>
      </c>
      <c r="CR19" s="102">
        <f>IF(OR($B8="",$B8=0),"",($G8*(CR$14&lt;$I8)+$H8*(CR$14&gt;=$I8))*$C8*(1+'Property Summary'!$I$18)^(CR$13-1))</f>
        <v>48833.176167678284</v>
      </c>
      <c r="CS19" s="102">
        <f>IF(OR($B8="",$B8=0),"",($G8*(CS$14&lt;$I8)+$H8*(CS$14&gt;=$I8))*$C8*(1+'Property Summary'!$I$18)^(CS$13-1))</f>
        <v>48833.176167678284</v>
      </c>
      <c r="CT19" s="102">
        <f>IF(OR($B8="",$B8=0),"",($G8*(CT$14&lt;$I8)+$H8*(CT$14&gt;=$I8))*$C8*(1+'Property Summary'!$I$18)^(CT$13-1))</f>
        <v>48833.176167678284</v>
      </c>
      <c r="CU19" s="102">
        <f>IF(OR($B8="",$B8=0),"",($G8*(CU$14&lt;$I8)+$H8*(CU$14&gt;=$I8))*$C8*(1+'Property Summary'!$I$18)^(CU$13-1))</f>
        <v>49565.673810193453</v>
      </c>
      <c r="CV19" s="102">
        <f>IF(OR($B8="",$B8=0),"",($G8*(CV$14&lt;$I8)+$H8*(CV$14&gt;=$I8))*$C8*(1+'Property Summary'!$I$18)^(CV$13-1))</f>
        <v>49565.673810193453</v>
      </c>
      <c r="CW19" s="102">
        <f>IF(OR($B8="",$B8=0),"",($G8*(CW$14&lt;$I8)+$H8*(CW$14&gt;=$I8))*$C8*(1+'Property Summary'!$I$18)^(CW$13-1))</f>
        <v>49565.673810193453</v>
      </c>
      <c r="CX19" s="102">
        <f>IF(OR($B8="",$B8=0),"",($G8*(CX$14&lt;$I8)+$H8*(CX$14&gt;=$I8))*$C8*(1+'Property Summary'!$I$18)^(CX$13-1))</f>
        <v>49565.673810193453</v>
      </c>
      <c r="CY19" s="102">
        <f>IF(OR($B8="",$B8=0),"",($G8*(CY$14&lt;$I8)+$H8*(CY$14&gt;=$I8))*$C8*(1+'Property Summary'!$I$18)^(CY$13-1))</f>
        <v>49565.673810193453</v>
      </c>
      <c r="CZ19" s="102">
        <f>IF(OR($B8="",$B8=0),"",($G8*(CZ$14&lt;$I8)+$H8*(CZ$14&gt;=$I8))*$C8*(1+'Property Summary'!$I$18)^(CZ$13-1))</f>
        <v>49565.673810193453</v>
      </c>
      <c r="DA19" s="102">
        <f>IF(OR($B8="",$B8=0),"",($G8*(DA$14&lt;$I8)+$H8*(DA$14&gt;=$I8))*$C8*(1+'Property Summary'!$I$18)^(DA$13-1))</f>
        <v>49565.673810193453</v>
      </c>
      <c r="DB19" s="102">
        <f>IF(OR($B8="",$B8=0),"",($G8*(DB$14&lt;$I8)+$H8*(DB$14&gt;=$I8))*$C8*(1+'Property Summary'!$I$18)^(DB$13-1))</f>
        <v>49565.673810193453</v>
      </c>
      <c r="DC19" s="102">
        <f>IF(OR($B8="",$B8=0),"",($G8*(DC$14&lt;$I8)+$H8*(DC$14&gt;=$I8))*$C8*(1+'Property Summary'!$I$18)^(DC$13-1))</f>
        <v>49565.673810193453</v>
      </c>
      <c r="DD19" s="102">
        <f>IF(OR($B8="",$B8=0),"",($G8*(DD$14&lt;$I8)+$H8*(DD$14&gt;=$I8))*$C8*(1+'Property Summary'!$I$18)^(DD$13-1))</f>
        <v>49565.673810193453</v>
      </c>
      <c r="DE19" s="102">
        <f>IF(OR($B8="",$B8=0),"",($G8*(DE$14&lt;$I8)+$H8*(DE$14&gt;=$I8))*$C8*(1+'Property Summary'!$I$18)^(DE$13-1))</f>
        <v>49565.673810193453</v>
      </c>
      <c r="DF19" s="102">
        <f>IF(OR($B8="",$B8=0),"",($G8*(DF$14&lt;$I8)+$H8*(DF$14&gt;=$I8))*$C8*(1+'Property Summary'!$I$18)^(DF$13-1))</f>
        <v>49565.673810193453</v>
      </c>
      <c r="DG19" s="102">
        <f>IF(OR($B8="",$B8=0),"",($G8*(DG$14&lt;$I8)+$H8*(DG$14&gt;=$I8))*$C8*(1+'Property Summary'!$I$18)^(DG$13-1))</f>
        <v>50309.158917346344</v>
      </c>
      <c r="DH19" s="102">
        <f>IF(OR($B8="",$B8=0),"",($G8*(DH$14&lt;$I8)+$H8*(DH$14&gt;=$I8))*$C8*(1+'Property Summary'!$I$18)^(DH$13-1))</f>
        <v>50309.158917346344</v>
      </c>
      <c r="DI19" s="102">
        <f>IF(OR($B8="",$B8=0),"",($G8*(DI$14&lt;$I8)+$H8*(DI$14&gt;=$I8))*$C8*(1+'Property Summary'!$I$18)^(DI$13-1))</f>
        <v>50309.158917346344</v>
      </c>
      <c r="DJ19" s="102">
        <f>IF(OR($B8="",$B8=0),"",($G8*(DJ$14&lt;$I8)+$H8*(DJ$14&gt;=$I8))*$C8*(1+'Property Summary'!$I$18)^(DJ$13-1))</f>
        <v>50309.158917346344</v>
      </c>
      <c r="DK19" s="102">
        <f>IF(OR($B8="",$B8=0),"",($G8*(DK$14&lt;$I8)+$H8*(DK$14&gt;=$I8))*$C8*(1+'Property Summary'!$I$18)^(DK$13-1))</f>
        <v>50309.158917346344</v>
      </c>
      <c r="DL19" s="102">
        <f>IF(OR($B8="",$B8=0),"",($G8*(DL$14&lt;$I8)+$H8*(DL$14&gt;=$I8))*$C8*(1+'Property Summary'!$I$18)^(DL$13-1))</f>
        <v>50309.158917346344</v>
      </c>
      <c r="DM19" s="102">
        <f>IF(OR($B8="",$B8=0),"",($G8*(DM$14&lt;$I8)+$H8*(DM$14&gt;=$I8))*$C8*(1+'Property Summary'!$I$18)^(DM$13-1))</f>
        <v>50309.158917346344</v>
      </c>
      <c r="DN19" s="102">
        <f>IF(OR($B8="",$B8=0),"",($G8*(DN$14&lt;$I8)+$H8*(DN$14&gt;=$I8))*$C8*(1+'Property Summary'!$I$18)^(DN$13-1))</f>
        <v>50309.158917346344</v>
      </c>
      <c r="DO19" s="102">
        <f>IF(OR($B8="",$B8=0),"",($G8*(DO$14&lt;$I8)+$H8*(DO$14&gt;=$I8))*$C8*(1+'Property Summary'!$I$18)^(DO$13-1))</f>
        <v>50309.158917346344</v>
      </c>
      <c r="DP19" s="102">
        <f>IF(OR($B8="",$B8=0),"",($G8*(DP$14&lt;$I8)+$H8*(DP$14&gt;=$I8))*$C8*(1+'Property Summary'!$I$18)^(DP$13-1))</f>
        <v>50309.158917346344</v>
      </c>
      <c r="DQ19" s="102">
        <f>IF(OR($B8="",$B8=0),"",($G8*(DQ$14&lt;$I8)+$H8*(DQ$14&gt;=$I8))*$C8*(1+'Property Summary'!$I$18)^(DQ$13-1))</f>
        <v>50309.158917346344</v>
      </c>
      <c r="DR19" s="102">
        <f>IF(OR($B8="",$B8=0),"",($G8*(DR$14&lt;$I8)+$H8*(DR$14&gt;=$I8))*$C8*(1+'Property Summary'!$I$18)^(DR$13-1))</f>
        <v>50309.158917346344</v>
      </c>
      <c r="DS19" s="102">
        <f>IF(OR($B8="",$B8=0),"",($G8*(DS$14&lt;$I8)+$H8*(DS$14&gt;=$I8))*$C8*(1+'Property Summary'!$I$18)^(DS$13-1))</f>
        <v>51063.796301106537</v>
      </c>
      <c r="DT19" s="102">
        <f>IF(OR($B8="",$B8=0),"",($G8*(DT$14&lt;$I8)+$H8*(DT$14&gt;=$I8))*$C8*(1+'Property Summary'!$I$18)^(DT$13-1))</f>
        <v>51063.796301106537</v>
      </c>
      <c r="DU19" s="102">
        <f>IF(OR($B8="",$B8=0),"",($G8*(DU$14&lt;$I8)+$H8*(DU$14&gt;=$I8))*$C8*(1+'Property Summary'!$I$18)^(DU$13-1))</f>
        <v>51063.796301106537</v>
      </c>
      <c r="DV19" s="102">
        <f>IF(OR($B8="",$B8=0),"",($G8*(DV$14&lt;$I8)+$H8*(DV$14&gt;=$I8))*$C8*(1+'Property Summary'!$I$18)^(DV$13-1))</f>
        <v>51063.796301106537</v>
      </c>
      <c r="DW19" s="102">
        <f>IF(OR($B8="",$B8=0),"",($G8*(DW$14&lt;$I8)+$H8*(DW$14&gt;=$I8))*$C8*(1+'Property Summary'!$I$18)^(DW$13-1))</f>
        <v>51063.796301106537</v>
      </c>
      <c r="DX19" s="102">
        <f>IF(OR($B8="",$B8=0),"",($G8*(DX$14&lt;$I8)+$H8*(DX$14&gt;=$I8))*$C8*(1+'Property Summary'!$I$18)^(DX$13-1))</f>
        <v>51063.796301106537</v>
      </c>
      <c r="DY19" s="102">
        <f>IF(OR($B8="",$B8=0),"",($G8*(DY$14&lt;$I8)+$H8*(DY$14&gt;=$I8))*$C8*(1+'Property Summary'!$I$18)^(DY$13-1))</f>
        <v>51063.796301106537</v>
      </c>
      <c r="DZ19" s="102">
        <f>IF(OR($B8="",$B8=0),"",($G8*(DZ$14&lt;$I8)+$H8*(DZ$14&gt;=$I8))*$C8*(1+'Property Summary'!$I$18)^(DZ$13-1))</f>
        <v>51063.796301106537</v>
      </c>
      <c r="EA19" s="102">
        <f>IF(OR($B8="",$B8=0),"",($G8*(EA$14&lt;$I8)+$H8*(EA$14&gt;=$I8))*$C8*(1+'Property Summary'!$I$18)^(EA$13-1))</f>
        <v>51063.796301106537</v>
      </c>
      <c r="EB19" s="102">
        <f>IF(OR($B8="",$B8=0),"",($G8*(EB$14&lt;$I8)+$H8*(EB$14&gt;=$I8))*$C8*(1+'Property Summary'!$I$18)^(EB$13-1))</f>
        <v>51063.796301106537</v>
      </c>
      <c r="EC19" s="102">
        <f>IF(OR($B8="",$B8=0),"",($G8*(EC$14&lt;$I8)+$H8*(EC$14&gt;=$I8))*$C8*(1+'Property Summary'!$I$18)^(EC$13-1))</f>
        <v>51063.796301106537</v>
      </c>
      <c r="ED19" s="102">
        <f>IF(OR($B8="",$B8=0),"",($G8*(ED$14&lt;$I8)+$H8*(ED$14&gt;=$I8))*$C8*(1+'Property Summary'!$I$18)^(ED$13-1))</f>
        <v>51063.796301106537</v>
      </c>
      <c r="EE19" s="102">
        <f>IF(OR($B8="",$B8=0),"",($G8*(EE$14&lt;$I8)+$H8*(EE$14&gt;=$I8))*$C8*(1+'Property Summary'!$I$18)^(EE$13-1))</f>
        <v>51829.753245623127</v>
      </c>
      <c r="EF19" s="102">
        <f>IF(OR($B8="",$B8=0),"",($G8*(EF$14&lt;$I8)+$H8*(EF$14&gt;=$I8))*$C8*(1+'Property Summary'!$I$18)^(EF$13-1))</f>
        <v>51829.753245623127</v>
      </c>
      <c r="EG19" s="102">
        <f>IF(OR($B8="",$B8=0),"",($G8*(EG$14&lt;$I8)+$H8*(EG$14&gt;=$I8))*$C8*(1+'Property Summary'!$I$18)^(EG$13-1))</f>
        <v>51829.753245623127</v>
      </c>
      <c r="EH19" s="102">
        <f>IF(OR($B8="",$B8=0),"",($G8*(EH$14&lt;$I8)+$H8*(EH$14&gt;=$I8))*$C8*(1+'Property Summary'!$I$18)^(EH$13-1))</f>
        <v>51829.753245623127</v>
      </c>
      <c r="EI19" s="102">
        <f>IF(OR($B8="",$B8=0),"",($G8*(EI$14&lt;$I8)+$H8*(EI$14&gt;=$I8))*$C8*(1+'Property Summary'!$I$18)^(EI$13-1))</f>
        <v>51829.753245623127</v>
      </c>
      <c r="EJ19" s="102">
        <f>IF(OR($B8="",$B8=0),"",($G8*(EJ$14&lt;$I8)+$H8*(EJ$14&gt;=$I8))*$C8*(1+'Property Summary'!$I$18)^(EJ$13-1))</f>
        <v>51829.753245623127</v>
      </c>
      <c r="EK19" s="102">
        <f>IF(OR($B8="",$B8=0),"",($G8*(EK$14&lt;$I8)+$H8*(EK$14&gt;=$I8))*$C8*(1+'Property Summary'!$I$18)^(EK$13-1))</f>
        <v>51829.753245623127</v>
      </c>
      <c r="EL19" s="102">
        <f>IF(OR($B8="",$B8=0),"",($G8*(EL$14&lt;$I8)+$H8*(EL$14&gt;=$I8))*$C8*(1+'Property Summary'!$I$18)^(EL$13-1))</f>
        <v>51829.753245623127</v>
      </c>
      <c r="EM19" s="102">
        <f>IF(OR($B8="",$B8=0),"",($G8*(EM$14&lt;$I8)+$H8*(EM$14&gt;=$I8))*$C8*(1+'Property Summary'!$I$18)^(EM$13-1))</f>
        <v>51829.753245623127</v>
      </c>
      <c r="EN19" s="102">
        <f>IF(OR($B8="",$B8=0),"",($G8*(EN$14&lt;$I8)+$H8*(EN$14&gt;=$I8))*$C8*(1+'Property Summary'!$I$18)^(EN$13-1))</f>
        <v>51829.753245623127</v>
      </c>
      <c r="EO19" s="102">
        <f>IF(OR($B8="",$B8=0),"",($G8*(EO$14&lt;$I8)+$H8*(EO$14&gt;=$I8))*$C8*(1+'Property Summary'!$I$18)^(EO$13-1))</f>
        <v>51829.753245623127</v>
      </c>
      <c r="EP19" s="102">
        <f>IF(OR($B8="",$B8=0),"",($G8*(EP$14&lt;$I8)+$H8*(EP$14&gt;=$I8))*$C8*(1+'Property Summary'!$I$18)^(EP$13-1))</f>
        <v>51829.753245623127</v>
      </c>
      <c r="EQ19" s="102">
        <f>IF(OR($B8="",$B8=0),"",($G8*(EQ$14&lt;$I8)+$H8*(EQ$14&gt;=$I8))*$C8*(1+'Property Summary'!$I$18)^(EQ$13-1))</f>
        <v>52607.199544307463</v>
      </c>
      <c r="ER19" s="102">
        <f>IF(OR($B8="",$B8=0),"",($G8*(ER$14&lt;$I8)+$H8*(ER$14&gt;=$I8))*$C8*(1+'Property Summary'!$I$18)^(ER$13-1))</f>
        <v>52607.199544307463</v>
      </c>
      <c r="ES19" s="102">
        <f>IF(OR($B8="",$B8=0),"",($G8*(ES$14&lt;$I8)+$H8*(ES$14&gt;=$I8))*$C8*(1+'Property Summary'!$I$18)^(ES$13-1))</f>
        <v>52607.199544307463</v>
      </c>
      <c r="ET19" s="102">
        <f>IF(OR($B8="",$B8=0),"",($G8*(ET$14&lt;$I8)+$H8*(ET$14&gt;=$I8))*$C8*(1+'Property Summary'!$I$18)^(ET$13-1))</f>
        <v>52607.199544307463</v>
      </c>
      <c r="EU19" s="102">
        <f>IF(OR($B8="",$B8=0),"",($G8*(EU$14&lt;$I8)+$H8*(EU$14&gt;=$I8))*$C8*(1+'Property Summary'!$I$18)^(EU$13-1))</f>
        <v>52607.199544307463</v>
      </c>
      <c r="EV19" s="102">
        <f>IF(OR($B8="",$B8=0),"",($G8*(EV$14&lt;$I8)+$H8*(EV$14&gt;=$I8))*$C8*(1+'Property Summary'!$I$18)^(EV$13-1))</f>
        <v>52607.199544307463</v>
      </c>
      <c r="EW19" s="102">
        <f>IF(OR($B8="",$B8=0),"",($G8*(EW$14&lt;$I8)+$H8*(EW$14&gt;=$I8))*$C8*(1+'Property Summary'!$I$18)^(EW$13-1))</f>
        <v>52607.199544307463</v>
      </c>
      <c r="EX19" s="102">
        <f>IF(OR($B8="",$B8=0),"",($G8*(EX$14&lt;$I8)+$H8*(EX$14&gt;=$I8))*$C8*(1+'Property Summary'!$I$18)^(EX$13-1))</f>
        <v>52607.199544307463</v>
      </c>
      <c r="EY19" s="102">
        <f>IF(OR($B8="",$B8=0),"",($G8*(EY$14&lt;$I8)+$H8*(EY$14&gt;=$I8))*$C8*(1+'Property Summary'!$I$18)^(EY$13-1))</f>
        <v>52607.199544307463</v>
      </c>
      <c r="EZ19" s="102">
        <f>IF(OR($B8="",$B8=0),"",($G8*(EZ$14&lt;$I8)+$H8*(EZ$14&gt;=$I8))*$C8*(1+'Property Summary'!$I$18)^(EZ$13-1))</f>
        <v>52607.199544307463</v>
      </c>
      <c r="FA19" s="102">
        <f>IF(OR($B8="",$B8=0),"",($G8*(FA$14&lt;$I8)+$H8*(FA$14&gt;=$I8))*$C8*(1+'Property Summary'!$I$18)^(FA$13-1))</f>
        <v>52607.199544307463</v>
      </c>
      <c r="FB19" s="102">
        <f>IF(OR($B8="",$B8=0),"",($G8*(FB$14&lt;$I8)+$H8*(FB$14&gt;=$I8))*$C8*(1+'Property Summary'!$I$18)^(FB$13-1))</f>
        <v>52607.199544307463</v>
      </c>
      <c r="FC19" s="102">
        <f>IF(OR($B8="",$B8=0),"",($G8*(FC$14&lt;$I8)+$H8*(FC$14&gt;=$I8))*$C8*(1+'Property Summary'!$I$18)^(FC$13-1))</f>
        <v>53396.307537472072</v>
      </c>
      <c r="FD19" s="102">
        <f>IF(OR($B8="",$B8=0),"",($G8*(FD$14&lt;$I8)+$H8*(FD$14&gt;=$I8))*$C8*(1+'Property Summary'!$I$18)^(FD$13-1))</f>
        <v>53396.307537472072</v>
      </c>
      <c r="FE19" s="102">
        <f>IF(OR($B8="",$B8=0),"",($G8*(FE$14&lt;$I8)+$H8*(FE$14&gt;=$I8))*$C8*(1+'Property Summary'!$I$18)^(FE$13-1))</f>
        <v>53396.307537472072</v>
      </c>
      <c r="FF19" s="102">
        <f>IF(OR($B8="",$B8=0),"",($G8*(FF$14&lt;$I8)+$H8*(FF$14&gt;=$I8))*$C8*(1+'Property Summary'!$I$18)^(FF$13-1))</f>
        <v>53396.307537472072</v>
      </c>
      <c r="FG19" s="102">
        <f>IF(OR($B8="",$B8=0),"",($G8*(FG$14&lt;$I8)+$H8*(FG$14&gt;=$I8))*$C8*(1+'Property Summary'!$I$18)^(FG$13-1))</f>
        <v>53396.307537472072</v>
      </c>
      <c r="FH19" s="102">
        <f>IF(OR($B8="",$B8=0),"",($G8*(FH$14&lt;$I8)+$H8*(FH$14&gt;=$I8))*$C8*(1+'Property Summary'!$I$18)^(FH$13-1))</f>
        <v>53396.307537472072</v>
      </c>
      <c r="FI19" s="102">
        <f>IF(OR($B8="",$B8=0),"",($G8*(FI$14&lt;$I8)+$H8*(FI$14&gt;=$I8))*$C8*(1+'Property Summary'!$I$18)^(FI$13-1))</f>
        <v>53396.307537472072</v>
      </c>
      <c r="FJ19" s="102">
        <f>IF(OR($B8="",$B8=0),"",($G8*(FJ$14&lt;$I8)+$H8*(FJ$14&gt;=$I8))*$C8*(1+'Property Summary'!$I$18)^(FJ$13-1))</f>
        <v>53396.307537472072</v>
      </c>
      <c r="FK19" s="102">
        <f>IF(OR($B8="",$B8=0),"",($G8*(FK$14&lt;$I8)+$H8*(FK$14&gt;=$I8))*$C8*(1+'Property Summary'!$I$18)^(FK$13-1))</f>
        <v>53396.307537472072</v>
      </c>
      <c r="FL19" s="102">
        <f>IF(OR($B8="",$B8=0),"",($G8*(FL$14&lt;$I8)+$H8*(FL$14&gt;=$I8))*$C8*(1+'Property Summary'!$I$18)^(FL$13-1))</f>
        <v>53396.307537472072</v>
      </c>
      <c r="FM19" s="102">
        <f>IF(OR($B8="",$B8=0),"",($G8*(FM$14&lt;$I8)+$H8*(FM$14&gt;=$I8))*$C8*(1+'Property Summary'!$I$18)^(FM$13-1))</f>
        <v>53396.307537472072</v>
      </c>
      <c r="FN19" s="102">
        <f>IF(OR($B8="",$B8=0),"",($G8*(FN$14&lt;$I8)+$H8*(FN$14&gt;=$I8))*$C8*(1+'Property Summary'!$I$18)^(FN$13-1))</f>
        <v>53396.307537472072</v>
      </c>
      <c r="FO19" s="102">
        <f>IF(OR($B8="",$B8=0),"",($G8*(FO$14&lt;$I8)+$H8*(FO$14&gt;=$I8))*$C8*(1+'Property Summary'!$I$18)^(FO$13-1))</f>
        <v>54197.252150534143</v>
      </c>
      <c r="FP19" s="102">
        <f>IF(OR($B8="",$B8=0),"",($G8*(FP$14&lt;$I8)+$H8*(FP$14&gt;=$I8))*$C8*(1+'Property Summary'!$I$18)^(FP$13-1))</f>
        <v>54197.252150534143</v>
      </c>
      <c r="FQ19" s="102">
        <f>IF(OR($B8="",$B8=0),"",($G8*(FQ$14&lt;$I8)+$H8*(FQ$14&gt;=$I8))*$C8*(1+'Property Summary'!$I$18)^(FQ$13-1))</f>
        <v>54197.252150534143</v>
      </c>
      <c r="FR19" s="102">
        <f>IF(OR($B8="",$B8=0),"",($G8*(FR$14&lt;$I8)+$H8*(FR$14&gt;=$I8))*$C8*(1+'Property Summary'!$I$18)^(FR$13-1))</f>
        <v>54197.252150534143</v>
      </c>
      <c r="FS19" s="102">
        <f>IF(OR($B8="",$B8=0),"",($G8*(FS$14&lt;$I8)+$H8*(FS$14&gt;=$I8))*$C8*(1+'Property Summary'!$I$18)^(FS$13-1))</f>
        <v>54197.252150534143</v>
      </c>
      <c r="FT19" s="102">
        <f>IF(OR($B8="",$B8=0),"",($G8*(FT$14&lt;$I8)+$H8*(FT$14&gt;=$I8))*$C8*(1+'Property Summary'!$I$18)^(FT$13-1))</f>
        <v>54197.252150534143</v>
      </c>
      <c r="FU19" s="102">
        <f>IF(OR($B8="",$B8=0),"",($G8*(FU$14&lt;$I8)+$H8*(FU$14&gt;=$I8))*$C8*(1+'Property Summary'!$I$18)^(FU$13-1))</f>
        <v>54197.252150534143</v>
      </c>
      <c r="FV19" s="102">
        <f>IF(OR($B8="",$B8=0),"",($G8*(FV$14&lt;$I8)+$H8*(FV$14&gt;=$I8))*$C8*(1+'Property Summary'!$I$18)^(FV$13-1))</f>
        <v>54197.252150534143</v>
      </c>
      <c r="FW19" s="102">
        <f>IF(OR($B8="",$B8=0),"",($G8*(FW$14&lt;$I8)+$H8*(FW$14&gt;=$I8))*$C8*(1+'Property Summary'!$I$18)^(FW$13-1))</f>
        <v>54197.252150534143</v>
      </c>
      <c r="FX19" s="102">
        <f>IF(OR($B8="",$B8=0),"",($G8*(FX$14&lt;$I8)+$H8*(FX$14&gt;=$I8))*$C8*(1+'Property Summary'!$I$18)^(FX$13-1))</f>
        <v>54197.252150534143</v>
      </c>
      <c r="FY19" s="102">
        <f>IF(OR($B8="",$B8=0),"",($G8*(FY$14&lt;$I8)+$H8*(FY$14&gt;=$I8))*$C8*(1+'Property Summary'!$I$18)^(FY$13-1))</f>
        <v>54197.252150534143</v>
      </c>
      <c r="FZ19" s="103">
        <f>IF(OR($B8="",$B8=0),"",($G8*(FZ$14&lt;$I8)+$H8*(FZ$14&gt;=$I8))*$C8*(1+'Property Summary'!$I$18)^(FZ$13-1))</f>
        <v>54197.252150534143</v>
      </c>
    </row>
    <row r="20" spans="2:182" x14ac:dyDescent="0.2">
      <c r="B20" s="4"/>
      <c r="C20" s="102">
        <f>IF(OR($B9="",$B9=0),"",($G9*(C$14&lt;$I9)+$H9*(C$14&gt;=$I9))*$C9*(1+'Property Summary'!$I$18)^(C$13-1))</f>
        <v>35400</v>
      </c>
      <c r="D20" s="102">
        <f>IF(OR($B9="",$B9=0),"",($G9*(D$14&lt;$I9)+$H9*(D$14&gt;=$I9))*$C9*(1+'Property Summary'!$I$18)^(D$13-1))</f>
        <v>35400</v>
      </c>
      <c r="E20" s="102">
        <f>IF(OR($B9="",$B9=0),"",($G9*(E$14&lt;$I9)+$H9*(E$14&gt;=$I9))*$C9*(1+'Property Summary'!$I$18)^(E$13-1))</f>
        <v>35400</v>
      </c>
      <c r="F20" s="102">
        <f>IF(OR($B9="",$B9=0),"",($G9*(F$14&lt;$I9)+$H9*(F$14&gt;=$I9))*$C9*(1+'Property Summary'!$I$18)^(F$13-1))</f>
        <v>35400</v>
      </c>
      <c r="G20" s="102">
        <f>IF(OR($B9="",$B9=0),"",($G9*(G$14&lt;$I9)+$H9*(G$14&gt;=$I9))*$C9*(1+'Property Summary'!$I$18)^(G$13-1))</f>
        <v>35400</v>
      </c>
      <c r="H20" s="102">
        <f>IF(OR($B9="",$B9=0),"",($G9*(H$14&lt;$I9)+$H9*(H$14&gt;=$I9))*$C9*(1+'Property Summary'!$I$18)^(H$13-1))</f>
        <v>35400</v>
      </c>
      <c r="I20" s="102">
        <f>IF(OR($B9="",$B9=0),"",($G9*(I$14&lt;$I9)+$H9*(I$14&gt;=$I9))*$C9*(1+'Property Summary'!$I$18)^(I$13-1))</f>
        <v>35400</v>
      </c>
      <c r="J20" s="102">
        <f>IF(OR($B9="",$B9=0),"",($G9*(J$14&lt;$I9)+$H9*(J$14&gt;=$I9))*$C9*(1+'Property Summary'!$I$18)^(J$13-1))</f>
        <v>35400</v>
      </c>
      <c r="K20" s="102">
        <f>IF(OR($B9="",$B9=0),"",($G9*(K$14&lt;$I9)+$H9*(K$14&gt;=$I9))*$C9*(1+'Property Summary'!$I$18)^(K$13-1))</f>
        <v>35400</v>
      </c>
      <c r="L20" s="102">
        <f>IF(OR($B9="",$B9=0),"",($G9*(L$14&lt;$I9)+$H9*(L$14&gt;=$I9))*$C9*(1+'Property Summary'!$I$18)^(L$13-1))</f>
        <v>35400</v>
      </c>
      <c r="M20" s="102">
        <f>IF(OR($B9="",$B9=0),"",($G9*(M$14&lt;$I9)+$H9*(M$14&gt;=$I9))*$C9*(1+'Property Summary'!$I$18)^(M$13-1))</f>
        <v>35400</v>
      </c>
      <c r="N20" s="102">
        <f>IF(OR($B9="",$B9=0),"",($G9*(N$14&lt;$I9)+$H9*(N$14&gt;=$I9))*$C9*(1+'Property Summary'!$I$18)^(N$13-1))</f>
        <v>35400</v>
      </c>
      <c r="O20" s="102">
        <f>IF(OR($B9="",$B9=0),"",($G9*(O$14&lt;$I9)+$H9*(O$14&gt;=$I9))*$C9*(1+'Property Summary'!$I$18)^(O$13-1))</f>
        <v>35931</v>
      </c>
      <c r="P20" s="102">
        <f>IF(OR($B9="",$B9=0),"",($G9*(P$14&lt;$I9)+$H9*(P$14&gt;=$I9))*$C9*(1+'Property Summary'!$I$18)^(P$13-1))</f>
        <v>35931</v>
      </c>
      <c r="Q20" s="102">
        <f>IF(OR($B9="",$B9=0),"",($G9*(Q$14&lt;$I9)+$H9*(Q$14&gt;=$I9))*$C9*(1+'Property Summary'!$I$18)^(Q$13-1))</f>
        <v>35931</v>
      </c>
      <c r="R20" s="102">
        <f>IF(OR($B9="",$B9=0),"",($G9*(R$14&lt;$I9)+$H9*(R$14&gt;=$I9))*$C9*(1+'Property Summary'!$I$18)^(R$13-1))</f>
        <v>35931</v>
      </c>
      <c r="S20" s="102">
        <f>IF(OR($B9="",$B9=0),"",($G9*(S$14&lt;$I9)+$H9*(S$14&gt;=$I9))*$C9*(1+'Property Summary'!$I$18)^(S$13-1))</f>
        <v>35931</v>
      </c>
      <c r="T20" s="102">
        <f>IF(OR($B9="",$B9=0),"",($G9*(T$14&lt;$I9)+$H9*(T$14&gt;=$I9))*$C9*(1+'Property Summary'!$I$18)^(T$13-1))</f>
        <v>35931</v>
      </c>
      <c r="U20" s="102">
        <f>IF(OR($B9="",$B9=0),"",($G9*(U$14&lt;$I9)+$H9*(U$14&gt;=$I9))*$C9*(1+'Property Summary'!$I$18)^(U$13-1))</f>
        <v>35931</v>
      </c>
      <c r="V20" s="102">
        <f>IF(OR($B9="",$B9=0),"",($G9*(V$14&lt;$I9)+$H9*(V$14&gt;=$I9))*$C9*(1+'Property Summary'!$I$18)^(V$13-1))</f>
        <v>37453.5</v>
      </c>
      <c r="W20" s="102">
        <f>IF(OR($B9="",$B9=0),"",($G9*(W$14&lt;$I9)+$H9*(W$14&gt;=$I9))*$C9*(1+'Property Summary'!$I$18)^(W$13-1))</f>
        <v>37453.5</v>
      </c>
      <c r="X20" s="102">
        <f>IF(OR($B9="",$B9=0),"",($G9*(X$14&lt;$I9)+$H9*(X$14&gt;=$I9))*$C9*(1+'Property Summary'!$I$18)^(X$13-1))</f>
        <v>37453.5</v>
      </c>
      <c r="Y20" s="102">
        <f>IF(OR($B9="",$B9=0),"",($G9*(Y$14&lt;$I9)+$H9*(Y$14&gt;=$I9))*$C9*(1+'Property Summary'!$I$18)^(Y$13-1))</f>
        <v>37453.5</v>
      </c>
      <c r="Z20" s="102">
        <f>IF(OR($B9="",$B9=0),"",($G9*(Z$14&lt;$I9)+$H9*(Z$14&gt;=$I9))*$C9*(1+'Property Summary'!$I$18)^(Z$13-1))</f>
        <v>37453.5</v>
      </c>
      <c r="AA20" s="102">
        <f>IF(OR($B9="",$B9=0),"",($G9*(AA$14&lt;$I9)+$H9*(AA$14&gt;=$I9))*$C9*(1+'Property Summary'!$I$18)^(AA$13-1))</f>
        <v>38015.302499999991</v>
      </c>
      <c r="AB20" s="102">
        <f>IF(OR($B9="",$B9=0),"",($G9*(AB$14&lt;$I9)+$H9*(AB$14&gt;=$I9))*$C9*(1+'Property Summary'!$I$18)^(AB$13-1))</f>
        <v>38015.302499999991</v>
      </c>
      <c r="AC20" s="102">
        <f>IF(OR($B9="",$B9=0),"",($G9*(AC$14&lt;$I9)+$H9*(AC$14&gt;=$I9))*$C9*(1+'Property Summary'!$I$18)^(AC$13-1))</f>
        <v>38015.302499999991</v>
      </c>
      <c r="AD20" s="102">
        <f>IF(OR($B9="",$B9=0),"",($G9*(AD$14&lt;$I9)+$H9*(AD$14&gt;=$I9))*$C9*(1+'Property Summary'!$I$18)^(AD$13-1))</f>
        <v>38015.302499999991</v>
      </c>
      <c r="AE20" s="102">
        <f>IF(OR($B9="",$B9=0),"",($G9*(AE$14&lt;$I9)+$H9*(AE$14&gt;=$I9))*$C9*(1+'Property Summary'!$I$18)^(AE$13-1))</f>
        <v>38015.302499999991</v>
      </c>
      <c r="AF20" s="102">
        <f>IF(OR($B9="",$B9=0),"",($G9*(AF$14&lt;$I9)+$H9*(AF$14&gt;=$I9))*$C9*(1+'Property Summary'!$I$18)^(AF$13-1))</f>
        <v>38015.302499999991</v>
      </c>
      <c r="AG20" s="102">
        <f>IF(OR($B9="",$B9=0),"",($G9*(AG$14&lt;$I9)+$H9*(AG$14&gt;=$I9))*$C9*(1+'Property Summary'!$I$18)^(AG$13-1))</f>
        <v>38015.302499999991</v>
      </c>
      <c r="AH20" s="102">
        <f>IF(OR($B9="",$B9=0),"",($G9*(AH$14&lt;$I9)+$H9*(AH$14&gt;=$I9))*$C9*(1+'Property Summary'!$I$18)^(AH$13-1))</f>
        <v>38015.302499999991</v>
      </c>
      <c r="AI20" s="102">
        <f>IF(OR($B9="",$B9=0),"",($G9*(AI$14&lt;$I9)+$H9*(AI$14&gt;=$I9))*$C9*(1+'Property Summary'!$I$18)^(AI$13-1))</f>
        <v>38015.302499999991</v>
      </c>
      <c r="AJ20" s="102">
        <f>IF(OR($B9="",$B9=0),"",($G9*(AJ$14&lt;$I9)+$H9*(AJ$14&gt;=$I9))*$C9*(1+'Property Summary'!$I$18)^(AJ$13-1))</f>
        <v>38015.302499999991</v>
      </c>
      <c r="AK20" s="102">
        <f>IF(OR($B9="",$B9=0),"",($G9*(AK$14&lt;$I9)+$H9*(AK$14&gt;=$I9))*$C9*(1+'Property Summary'!$I$18)^(AK$13-1))</f>
        <v>38015.302499999991</v>
      </c>
      <c r="AL20" s="102">
        <f>IF(OR($B9="",$B9=0),"",($G9*(AL$14&lt;$I9)+$H9*(AL$14&gt;=$I9))*$C9*(1+'Property Summary'!$I$18)^(AL$13-1))</f>
        <v>38015.302499999991</v>
      </c>
      <c r="AM20" s="102">
        <f>IF(OR($B9="",$B9=0),"",($G9*(AM$14&lt;$I9)+$H9*(AM$14&gt;=$I9))*$C9*(1+'Property Summary'!$I$18)^(AM$13-1))</f>
        <v>38585.532037499986</v>
      </c>
      <c r="AN20" s="102">
        <f>IF(OR($B9="",$B9=0),"",($G9*(AN$14&lt;$I9)+$H9*(AN$14&gt;=$I9))*$C9*(1+'Property Summary'!$I$18)^(AN$13-1))</f>
        <v>38585.532037499986</v>
      </c>
      <c r="AO20" s="102">
        <f>IF(OR($B9="",$B9=0),"",($G9*(AO$14&lt;$I9)+$H9*(AO$14&gt;=$I9))*$C9*(1+'Property Summary'!$I$18)^(AO$13-1))</f>
        <v>38585.532037499986</v>
      </c>
      <c r="AP20" s="102">
        <f>IF(OR($B9="",$B9=0),"",($G9*(AP$14&lt;$I9)+$H9*(AP$14&gt;=$I9))*$C9*(1+'Property Summary'!$I$18)^(AP$13-1))</f>
        <v>38585.532037499986</v>
      </c>
      <c r="AQ20" s="102">
        <f>IF(OR($B9="",$B9=0),"",($G9*(AQ$14&lt;$I9)+$H9*(AQ$14&gt;=$I9))*$C9*(1+'Property Summary'!$I$18)^(AQ$13-1))</f>
        <v>38585.532037499986</v>
      </c>
      <c r="AR20" s="102">
        <f>IF(OR($B9="",$B9=0),"",($G9*(AR$14&lt;$I9)+$H9*(AR$14&gt;=$I9))*$C9*(1+'Property Summary'!$I$18)^(AR$13-1))</f>
        <v>38585.532037499986</v>
      </c>
      <c r="AS20" s="102">
        <f>IF(OR($B9="",$B9=0),"",($G9*(AS$14&lt;$I9)+$H9*(AS$14&gt;=$I9))*$C9*(1+'Property Summary'!$I$18)^(AS$13-1))</f>
        <v>38585.532037499986</v>
      </c>
      <c r="AT20" s="102">
        <f>IF(OR($B9="",$B9=0),"",($G9*(AT$14&lt;$I9)+$H9*(AT$14&gt;=$I9))*$C9*(1+'Property Summary'!$I$18)^(AT$13-1))</f>
        <v>38585.532037499986</v>
      </c>
      <c r="AU20" s="102">
        <f>IF(OR($B9="",$B9=0),"",($G9*(AU$14&lt;$I9)+$H9*(AU$14&gt;=$I9))*$C9*(1+'Property Summary'!$I$18)^(AU$13-1))</f>
        <v>38585.532037499986</v>
      </c>
      <c r="AV20" s="102">
        <f>IF(OR($B9="",$B9=0),"",($G9*(AV$14&lt;$I9)+$H9*(AV$14&gt;=$I9))*$C9*(1+'Property Summary'!$I$18)^(AV$13-1))</f>
        <v>38585.532037499986</v>
      </c>
      <c r="AW20" s="102">
        <f>IF(OR($B9="",$B9=0),"",($G9*(AW$14&lt;$I9)+$H9*(AW$14&gt;=$I9))*$C9*(1+'Property Summary'!$I$18)^(AW$13-1))</f>
        <v>38585.532037499986</v>
      </c>
      <c r="AX20" s="102">
        <f>IF(OR($B9="",$B9=0),"",($G9*(AX$14&lt;$I9)+$H9*(AX$14&gt;=$I9))*$C9*(1+'Property Summary'!$I$18)^(AX$13-1))</f>
        <v>38585.532037499986</v>
      </c>
      <c r="AY20" s="102">
        <f>IF(OR($B9="",$B9=0),"",($G9*(AY$14&lt;$I9)+$H9*(AY$14&gt;=$I9))*$C9*(1+'Property Summary'!$I$18)^(AY$13-1))</f>
        <v>39164.31501806248</v>
      </c>
      <c r="AZ20" s="102">
        <f>IF(OR($B9="",$B9=0),"",($G9*(AZ$14&lt;$I9)+$H9*(AZ$14&gt;=$I9))*$C9*(1+'Property Summary'!$I$18)^(AZ$13-1))</f>
        <v>39164.31501806248</v>
      </c>
      <c r="BA20" s="102">
        <f>IF(OR($B9="",$B9=0),"",($G9*(BA$14&lt;$I9)+$H9*(BA$14&gt;=$I9))*$C9*(1+'Property Summary'!$I$18)^(BA$13-1))</f>
        <v>39164.31501806248</v>
      </c>
      <c r="BB20" s="102">
        <f>IF(OR($B9="",$B9=0),"",($G9*(BB$14&lt;$I9)+$H9*(BB$14&gt;=$I9))*$C9*(1+'Property Summary'!$I$18)^(BB$13-1))</f>
        <v>39164.31501806248</v>
      </c>
      <c r="BC20" s="102">
        <f>IF(OR($B9="",$B9=0),"",($G9*(BC$14&lt;$I9)+$H9*(BC$14&gt;=$I9))*$C9*(1+'Property Summary'!$I$18)^(BC$13-1))</f>
        <v>39164.31501806248</v>
      </c>
      <c r="BD20" s="102">
        <f>IF(OR($B9="",$B9=0),"",($G9*(BD$14&lt;$I9)+$H9*(BD$14&gt;=$I9))*$C9*(1+'Property Summary'!$I$18)^(BD$13-1))</f>
        <v>39164.31501806248</v>
      </c>
      <c r="BE20" s="102">
        <f>IF(OR($B9="",$B9=0),"",($G9*(BE$14&lt;$I9)+$H9*(BE$14&gt;=$I9))*$C9*(1+'Property Summary'!$I$18)^(BE$13-1))</f>
        <v>39164.31501806248</v>
      </c>
      <c r="BF20" s="102">
        <f>IF(OR($B9="",$B9=0),"",($G9*(BF$14&lt;$I9)+$H9*(BF$14&gt;=$I9))*$C9*(1+'Property Summary'!$I$18)^(BF$13-1))</f>
        <v>39164.31501806248</v>
      </c>
      <c r="BG20" s="102">
        <f>IF(OR($B9="",$B9=0),"",($G9*(BG$14&lt;$I9)+$H9*(BG$14&gt;=$I9))*$C9*(1+'Property Summary'!$I$18)^(BG$13-1))</f>
        <v>39164.31501806248</v>
      </c>
      <c r="BH20" s="102">
        <f>IF(OR($B9="",$B9=0),"",($G9*(BH$14&lt;$I9)+$H9*(BH$14&gt;=$I9))*$C9*(1+'Property Summary'!$I$18)^(BH$13-1))</f>
        <v>39164.31501806248</v>
      </c>
      <c r="BI20" s="102">
        <f>IF(OR($B9="",$B9=0),"",($G9*(BI$14&lt;$I9)+$H9*(BI$14&gt;=$I9))*$C9*(1+'Property Summary'!$I$18)^(BI$13-1))</f>
        <v>39164.31501806248</v>
      </c>
      <c r="BJ20" s="102">
        <f>IF(OR($B9="",$B9=0),"",($G9*(BJ$14&lt;$I9)+$H9*(BJ$14&gt;=$I9))*$C9*(1+'Property Summary'!$I$18)^(BJ$13-1))</f>
        <v>39164.31501806248</v>
      </c>
      <c r="BK20" s="102">
        <f>IF(OR($B9="",$B9=0),"",($G9*(BK$14&lt;$I9)+$H9*(BK$14&gt;=$I9))*$C9*(1+'Property Summary'!$I$18)^(BK$13-1))</f>
        <v>39751.779743333413</v>
      </c>
      <c r="BL20" s="102">
        <f>IF(OR($B9="",$B9=0),"",($G9*(BL$14&lt;$I9)+$H9*(BL$14&gt;=$I9))*$C9*(1+'Property Summary'!$I$18)^(BL$13-1))</f>
        <v>39751.779743333413</v>
      </c>
      <c r="BM20" s="102">
        <f>IF(OR($B9="",$B9=0),"",($G9*(BM$14&lt;$I9)+$H9*(BM$14&gt;=$I9))*$C9*(1+'Property Summary'!$I$18)^(BM$13-1))</f>
        <v>39751.779743333413</v>
      </c>
      <c r="BN20" s="102">
        <f>IF(OR($B9="",$B9=0),"",($G9*(BN$14&lt;$I9)+$H9*(BN$14&gt;=$I9))*$C9*(1+'Property Summary'!$I$18)^(BN$13-1))</f>
        <v>39751.779743333413</v>
      </c>
      <c r="BO20" s="102">
        <f>IF(OR($B9="",$B9=0),"",($G9*(BO$14&lt;$I9)+$H9*(BO$14&gt;=$I9))*$C9*(1+'Property Summary'!$I$18)^(BO$13-1))</f>
        <v>39751.779743333413</v>
      </c>
      <c r="BP20" s="102">
        <f>IF(OR($B9="",$B9=0),"",($G9*(BP$14&lt;$I9)+$H9*(BP$14&gt;=$I9))*$C9*(1+'Property Summary'!$I$18)^(BP$13-1))</f>
        <v>39751.779743333413</v>
      </c>
      <c r="BQ20" s="102">
        <f>IF(OR($B9="",$B9=0),"",($G9*(BQ$14&lt;$I9)+$H9*(BQ$14&gt;=$I9))*$C9*(1+'Property Summary'!$I$18)^(BQ$13-1))</f>
        <v>39751.779743333413</v>
      </c>
      <c r="BR20" s="102">
        <f>IF(OR($B9="",$B9=0),"",($G9*(BR$14&lt;$I9)+$H9*(BR$14&gt;=$I9))*$C9*(1+'Property Summary'!$I$18)^(BR$13-1))</f>
        <v>39751.779743333413</v>
      </c>
      <c r="BS20" s="102">
        <f>IF(OR($B9="",$B9=0),"",($G9*(BS$14&lt;$I9)+$H9*(BS$14&gt;=$I9))*$C9*(1+'Property Summary'!$I$18)^(BS$13-1))</f>
        <v>39751.779743333413</v>
      </c>
      <c r="BT20" s="102">
        <f>IF(OR($B9="",$B9=0),"",($G9*(BT$14&lt;$I9)+$H9*(BT$14&gt;=$I9))*$C9*(1+'Property Summary'!$I$18)^(BT$13-1))</f>
        <v>39751.779743333413</v>
      </c>
      <c r="BU20" s="102">
        <f>IF(OR($B9="",$B9=0),"",($G9*(BU$14&lt;$I9)+$H9*(BU$14&gt;=$I9))*$C9*(1+'Property Summary'!$I$18)^(BU$13-1))</f>
        <v>39751.779743333413</v>
      </c>
      <c r="BV20" s="102">
        <f>IF(OR($B9="",$B9=0),"",($G9*(BV$14&lt;$I9)+$H9*(BV$14&gt;=$I9))*$C9*(1+'Property Summary'!$I$18)^(BV$13-1))</f>
        <v>39751.779743333413</v>
      </c>
      <c r="BW20" s="102">
        <f>IF(OR($B9="",$B9=0),"",($G9*(BW$14&lt;$I9)+$H9*(BW$14&gt;=$I9))*$C9*(1+'Property Summary'!$I$18)^(BW$13-1))</f>
        <v>40348.056439483407</v>
      </c>
      <c r="BX20" s="102">
        <f>IF(OR($B9="",$B9=0),"",($G9*(BX$14&lt;$I9)+$H9*(BX$14&gt;=$I9))*$C9*(1+'Property Summary'!$I$18)^(BX$13-1))</f>
        <v>40348.056439483407</v>
      </c>
      <c r="BY20" s="102">
        <f>IF(OR($B9="",$B9=0),"",($G9*(BY$14&lt;$I9)+$H9*(BY$14&gt;=$I9))*$C9*(1+'Property Summary'!$I$18)^(BY$13-1))</f>
        <v>40348.056439483407</v>
      </c>
      <c r="BZ20" s="102">
        <f>IF(OR($B9="",$B9=0),"",($G9*(BZ$14&lt;$I9)+$H9*(BZ$14&gt;=$I9))*$C9*(1+'Property Summary'!$I$18)^(BZ$13-1))</f>
        <v>40348.056439483407</v>
      </c>
      <c r="CA20" s="102">
        <f>IF(OR($B9="",$B9=0),"",($G9*(CA$14&lt;$I9)+$H9*(CA$14&gt;=$I9))*$C9*(1+'Property Summary'!$I$18)^(CA$13-1))</f>
        <v>40348.056439483407</v>
      </c>
      <c r="CB20" s="102">
        <f>IF(OR($B9="",$B9=0),"",($G9*(CB$14&lt;$I9)+$H9*(CB$14&gt;=$I9))*$C9*(1+'Property Summary'!$I$18)^(CB$13-1))</f>
        <v>40348.056439483407</v>
      </c>
      <c r="CC20" s="102">
        <f>IF(OR($B9="",$B9=0),"",($G9*(CC$14&lt;$I9)+$H9*(CC$14&gt;=$I9))*$C9*(1+'Property Summary'!$I$18)^(CC$13-1))</f>
        <v>40348.056439483407</v>
      </c>
      <c r="CD20" s="102">
        <f>IF(OR($B9="",$B9=0),"",($G9*(CD$14&lt;$I9)+$H9*(CD$14&gt;=$I9))*$C9*(1+'Property Summary'!$I$18)^(CD$13-1))</f>
        <v>40348.056439483407</v>
      </c>
      <c r="CE20" s="102">
        <f>IF(OR($B9="",$B9=0),"",($G9*(CE$14&lt;$I9)+$H9*(CE$14&gt;=$I9))*$C9*(1+'Property Summary'!$I$18)^(CE$13-1))</f>
        <v>40348.056439483407</v>
      </c>
      <c r="CF20" s="102">
        <f>IF(OR($B9="",$B9=0),"",($G9*(CF$14&lt;$I9)+$H9*(CF$14&gt;=$I9))*$C9*(1+'Property Summary'!$I$18)^(CF$13-1))</f>
        <v>40348.056439483407</v>
      </c>
      <c r="CG20" s="102">
        <f>IF(OR($B9="",$B9=0),"",($G9*(CG$14&lt;$I9)+$H9*(CG$14&gt;=$I9))*$C9*(1+'Property Summary'!$I$18)^(CG$13-1))</f>
        <v>40348.056439483407</v>
      </c>
      <c r="CH20" s="102">
        <f>IF(OR($B9="",$B9=0),"",($G9*(CH$14&lt;$I9)+$H9*(CH$14&gt;=$I9))*$C9*(1+'Property Summary'!$I$18)^(CH$13-1))</f>
        <v>40348.056439483407</v>
      </c>
      <c r="CI20" s="102">
        <f>IF(OR($B9="",$B9=0),"",($G9*(CI$14&lt;$I9)+$H9*(CI$14&gt;=$I9))*$C9*(1+'Property Summary'!$I$18)^(CI$13-1))</f>
        <v>40953.277286075652</v>
      </c>
      <c r="CJ20" s="102">
        <f>IF(OR($B9="",$B9=0),"",($G9*(CJ$14&lt;$I9)+$H9*(CJ$14&gt;=$I9))*$C9*(1+'Property Summary'!$I$18)^(CJ$13-1))</f>
        <v>40953.277286075652</v>
      </c>
      <c r="CK20" s="102">
        <f>IF(OR($B9="",$B9=0),"",($G9*(CK$14&lt;$I9)+$H9*(CK$14&gt;=$I9))*$C9*(1+'Property Summary'!$I$18)^(CK$13-1))</f>
        <v>40953.277286075652</v>
      </c>
      <c r="CL20" s="102">
        <f>IF(OR($B9="",$B9=0),"",($G9*(CL$14&lt;$I9)+$H9*(CL$14&gt;=$I9))*$C9*(1+'Property Summary'!$I$18)^(CL$13-1))</f>
        <v>40953.277286075652</v>
      </c>
      <c r="CM20" s="102">
        <f>IF(OR($B9="",$B9=0),"",($G9*(CM$14&lt;$I9)+$H9*(CM$14&gt;=$I9))*$C9*(1+'Property Summary'!$I$18)^(CM$13-1))</f>
        <v>40953.277286075652</v>
      </c>
      <c r="CN20" s="102">
        <f>IF(OR($B9="",$B9=0),"",($G9*(CN$14&lt;$I9)+$H9*(CN$14&gt;=$I9))*$C9*(1+'Property Summary'!$I$18)^(CN$13-1))</f>
        <v>40953.277286075652</v>
      </c>
      <c r="CO20" s="102">
        <f>IF(OR($B9="",$B9=0),"",($G9*(CO$14&lt;$I9)+$H9*(CO$14&gt;=$I9))*$C9*(1+'Property Summary'!$I$18)^(CO$13-1))</f>
        <v>40953.277286075652</v>
      </c>
      <c r="CP20" s="102">
        <f>IF(OR($B9="",$B9=0),"",($G9*(CP$14&lt;$I9)+$H9*(CP$14&gt;=$I9))*$C9*(1+'Property Summary'!$I$18)^(CP$13-1))</f>
        <v>40953.277286075652</v>
      </c>
      <c r="CQ20" s="102">
        <f>IF(OR($B9="",$B9=0),"",($G9*(CQ$14&lt;$I9)+$H9*(CQ$14&gt;=$I9))*$C9*(1+'Property Summary'!$I$18)^(CQ$13-1))</f>
        <v>40953.277286075652</v>
      </c>
      <c r="CR20" s="102">
        <f>IF(OR($B9="",$B9=0),"",($G9*(CR$14&lt;$I9)+$H9*(CR$14&gt;=$I9))*$C9*(1+'Property Summary'!$I$18)^(CR$13-1))</f>
        <v>40953.277286075652</v>
      </c>
      <c r="CS20" s="102">
        <f>IF(OR($B9="",$B9=0),"",($G9*(CS$14&lt;$I9)+$H9*(CS$14&gt;=$I9))*$C9*(1+'Property Summary'!$I$18)^(CS$13-1))</f>
        <v>40953.277286075652</v>
      </c>
      <c r="CT20" s="102">
        <f>IF(OR($B9="",$B9=0),"",($G9*(CT$14&lt;$I9)+$H9*(CT$14&gt;=$I9))*$C9*(1+'Property Summary'!$I$18)^(CT$13-1))</f>
        <v>40953.277286075652</v>
      </c>
      <c r="CU20" s="102">
        <f>IF(OR($B9="",$B9=0),"",($G9*(CU$14&lt;$I9)+$H9*(CU$14&gt;=$I9))*$C9*(1+'Property Summary'!$I$18)^(CU$13-1))</f>
        <v>41567.57644536678</v>
      </c>
      <c r="CV20" s="102">
        <f>IF(OR($B9="",$B9=0),"",($G9*(CV$14&lt;$I9)+$H9*(CV$14&gt;=$I9))*$C9*(1+'Property Summary'!$I$18)^(CV$13-1))</f>
        <v>41567.57644536678</v>
      </c>
      <c r="CW20" s="102">
        <f>IF(OR($B9="",$B9=0),"",($G9*(CW$14&lt;$I9)+$H9*(CW$14&gt;=$I9))*$C9*(1+'Property Summary'!$I$18)^(CW$13-1))</f>
        <v>41567.57644536678</v>
      </c>
      <c r="CX20" s="102">
        <f>IF(OR($B9="",$B9=0),"",($G9*(CX$14&lt;$I9)+$H9*(CX$14&gt;=$I9))*$C9*(1+'Property Summary'!$I$18)^(CX$13-1))</f>
        <v>41567.57644536678</v>
      </c>
      <c r="CY20" s="102">
        <f>IF(OR($B9="",$B9=0),"",($G9*(CY$14&lt;$I9)+$H9*(CY$14&gt;=$I9))*$C9*(1+'Property Summary'!$I$18)^(CY$13-1))</f>
        <v>41567.57644536678</v>
      </c>
      <c r="CZ20" s="102">
        <f>IF(OR($B9="",$B9=0),"",($G9*(CZ$14&lt;$I9)+$H9*(CZ$14&gt;=$I9))*$C9*(1+'Property Summary'!$I$18)^(CZ$13-1))</f>
        <v>41567.57644536678</v>
      </c>
      <c r="DA20" s="102">
        <f>IF(OR($B9="",$B9=0),"",($G9*(DA$14&lt;$I9)+$H9*(DA$14&gt;=$I9))*$C9*(1+'Property Summary'!$I$18)^(DA$13-1))</f>
        <v>41567.57644536678</v>
      </c>
      <c r="DB20" s="102">
        <f>IF(OR($B9="",$B9=0),"",($G9*(DB$14&lt;$I9)+$H9*(DB$14&gt;=$I9))*$C9*(1+'Property Summary'!$I$18)^(DB$13-1))</f>
        <v>41567.57644536678</v>
      </c>
      <c r="DC20" s="102">
        <f>IF(OR($B9="",$B9=0),"",($G9*(DC$14&lt;$I9)+$H9*(DC$14&gt;=$I9))*$C9*(1+'Property Summary'!$I$18)^(DC$13-1))</f>
        <v>41567.57644536678</v>
      </c>
      <c r="DD20" s="102">
        <f>IF(OR($B9="",$B9=0),"",($G9*(DD$14&lt;$I9)+$H9*(DD$14&gt;=$I9))*$C9*(1+'Property Summary'!$I$18)^(DD$13-1))</f>
        <v>41567.57644536678</v>
      </c>
      <c r="DE20" s="102">
        <f>IF(OR($B9="",$B9=0),"",($G9*(DE$14&lt;$I9)+$H9*(DE$14&gt;=$I9))*$C9*(1+'Property Summary'!$I$18)^(DE$13-1))</f>
        <v>41567.57644536678</v>
      </c>
      <c r="DF20" s="102">
        <f>IF(OR($B9="",$B9=0),"",($G9*(DF$14&lt;$I9)+$H9*(DF$14&gt;=$I9))*$C9*(1+'Property Summary'!$I$18)^(DF$13-1))</f>
        <v>41567.57644536678</v>
      </c>
      <c r="DG20" s="102">
        <f>IF(OR($B9="",$B9=0),"",($G9*(DG$14&lt;$I9)+$H9*(DG$14&gt;=$I9))*$C9*(1+'Property Summary'!$I$18)^(DG$13-1))</f>
        <v>42191.090092047278</v>
      </c>
      <c r="DH20" s="102">
        <f>IF(OR($B9="",$B9=0),"",($G9*(DH$14&lt;$I9)+$H9*(DH$14&gt;=$I9))*$C9*(1+'Property Summary'!$I$18)^(DH$13-1))</f>
        <v>42191.090092047278</v>
      </c>
      <c r="DI20" s="102">
        <f>IF(OR($B9="",$B9=0),"",($G9*(DI$14&lt;$I9)+$H9*(DI$14&gt;=$I9))*$C9*(1+'Property Summary'!$I$18)^(DI$13-1))</f>
        <v>42191.090092047278</v>
      </c>
      <c r="DJ20" s="102">
        <f>IF(OR($B9="",$B9=0),"",($G9*(DJ$14&lt;$I9)+$H9*(DJ$14&gt;=$I9))*$C9*(1+'Property Summary'!$I$18)^(DJ$13-1))</f>
        <v>42191.090092047278</v>
      </c>
      <c r="DK20" s="102">
        <f>IF(OR($B9="",$B9=0),"",($G9*(DK$14&lt;$I9)+$H9*(DK$14&gt;=$I9))*$C9*(1+'Property Summary'!$I$18)^(DK$13-1))</f>
        <v>42191.090092047278</v>
      </c>
      <c r="DL20" s="102">
        <f>IF(OR($B9="",$B9=0),"",($G9*(DL$14&lt;$I9)+$H9*(DL$14&gt;=$I9))*$C9*(1+'Property Summary'!$I$18)^(DL$13-1))</f>
        <v>42191.090092047278</v>
      </c>
      <c r="DM20" s="102">
        <f>IF(OR($B9="",$B9=0),"",($G9*(DM$14&lt;$I9)+$H9*(DM$14&gt;=$I9))*$C9*(1+'Property Summary'!$I$18)^(DM$13-1))</f>
        <v>42191.090092047278</v>
      </c>
      <c r="DN20" s="102">
        <f>IF(OR($B9="",$B9=0),"",($G9*(DN$14&lt;$I9)+$H9*(DN$14&gt;=$I9))*$C9*(1+'Property Summary'!$I$18)^(DN$13-1))</f>
        <v>42191.090092047278</v>
      </c>
      <c r="DO20" s="102">
        <f>IF(OR($B9="",$B9=0),"",($G9*(DO$14&lt;$I9)+$H9*(DO$14&gt;=$I9))*$C9*(1+'Property Summary'!$I$18)^(DO$13-1))</f>
        <v>42191.090092047278</v>
      </c>
      <c r="DP20" s="102">
        <f>IF(OR($B9="",$B9=0),"",($G9*(DP$14&lt;$I9)+$H9*(DP$14&gt;=$I9))*$C9*(1+'Property Summary'!$I$18)^(DP$13-1))</f>
        <v>42191.090092047278</v>
      </c>
      <c r="DQ20" s="102">
        <f>IF(OR($B9="",$B9=0),"",($G9*(DQ$14&lt;$I9)+$H9*(DQ$14&gt;=$I9))*$C9*(1+'Property Summary'!$I$18)^(DQ$13-1))</f>
        <v>42191.090092047278</v>
      </c>
      <c r="DR20" s="102">
        <f>IF(OR($B9="",$B9=0),"",($G9*(DR$14&lt;$I9)+$H9*(DR$14&gt;=$I9))*$C9*(1+'Property Summary'!$I$18)^(DR$13-1))</f>
        <v>42191.090092047278</v>
      </c>
      <c r="DS20" s="102">
        <f>IF(OR($B9="",$B9=0),"",($G9*(DS$14&lt;$I9)+$H9*(DS$14&gt;=$I9))*$C9*(1+'Property Summary'!$I$18)^(DS$13-1))</f>
        <v>42823.956443427982</v>
      </c>
      <c r="DT20" s="102">
        <f>IF(OR($B9="",$B9=0),"",($G9*(DT$14&lt;$I9)+$H9*(DT$14&gt;=$I9))*$C9*(1+'Property Summary'!$I$18)^(DT$13-1))</f>
        <v>42823.956443427982</v>
      </c>
      <c r="DU20" s="102">
        <f>IF(OR($B9="",$B9=0),"",($G9*(DU$14&lt;$I9)+$H9*(DU$14&gt;=$I9))*$C9*(1+'Property Summary'!$I$18)^(DU$13-1))</f>
        <v>42823.956443427982</v>
      </c>
      <c r="DV20" s="102">
        <f>IF(OR($B9="",$B9=0),"",($G9*(DV$14&lt;$I9)+$H9*(DV$14&gt;=$I9))*$C9*(1+'Property Summary'!$I$18)^(DV$13-1))</f>
        <v>42823.956443427982</v>
      </c>
      <c r="DW20" s="102">
        <f>IF(OR($B9="",$B9=0),"",($G9*(DW$14&lt;$I9)+$H9*(DW$14&gt;=$I9))*$C9*(1+'Property Summary'!$I$18)^(DW$13-1))</f>
        <v>42823.956443427982</v>
      </c>
      <c r="DX20" s="102">
        <f>IF(OR($B9="",$B9=0),"",($G9*(DX$14&lt;$I9)+$H9*(DX$14&gt;=$I9))*$C9*(1+'Property Summary'!$I$18)^(DX$13-1))</f>
        <v>42823.956443427982</v>
      </c>
      <c r="DY20" s="102">
        <f>IF(OR($B9="",$B9=0),"",($G9*(DY$14&lt;$I9)+$H9*(DY$14&gt;=$I9))*$C9*(1+'Property Summary'!$I$18)^(DY$13-1))</f>
        <v>42823.956443427982</v>
      </c>
      <c r="DZ20" s="102">
        <f>IF(OR($B9="",$B9=0),"",($G9*(DZ$14&lt;$I9)+$H9*(DZ$14&gt;=$I9))*$C9*(1+'Property Summary'!$I$18)^(DZ$13-1))</f>
        <v>42823.956443427982</v>
      </c>
      <c r="EA20" s="102">
        <f>IF(OR($B9="",$B9=0),"",($G9*(EA$14&lt;$I9)+$H9*(EA$14&gt;=$I9))*$C9*(1+'Property Summary'!$I$18)^(EA$13-1))</f>
        <v>42823.956443427982</v>
      </c>
      <c r="EB20" s="102">
        <f>IF(OR($B9="",$B9=0),"",($G9*(EB$14&lt;$I9)+$H9*(EB$14&gt;=$I9))*$C9*(1+'Property Summary'!$I$18)^(EB$13-1))</f>
        <v>42823.956443427982</v>
      </c>
      <c r="EC20" s="102">
        <f>IF(OR($B9="",$B9=0),"",($G9*(EC$14&lt;$I9)+$H9*(EC$14&gt;=$I9))*$C9*(1+'Property Summary'!$I$18)^(EC$13-1))</f>
        <v>42823.956443427982</v>
      </c>
      <c r="ED20" s="102">
        <f>IF(OR($B9="",$B9=0),"",($G9*(ED$14&lt;$I9)+$H9*(ED$14&gt;=$I9))*$C9*(1+'Property Summary'!$I$18)^(ED$13-1))</f>
        <v>42823.956443427982</v>
      </c>
      <c r="EE20" s="102">
        <f>IF(OR($B9="",$B9=0),"",($G9*(EE$14&lt;$I9)+$H9*(EE$14&gt;=$I9))*$C9*(1+'Property Summary'!$I$18)^(EE$13-1))</f>
        <v>43466.315790079396</v>
      </c>
      <c r="EF20" s="102">
        <f>IF(OR($B9="",$B9=0),"",($G9*(EF$14&lt;$I9)+$H9*(EF$14&gt;=$I9))*$C9*(1+'Property Summary'!$I$18)^(EF$13-1))</f>
        <v>43466.315790079396</v>
      </c>
      <c r="EG20" s="102">
        <f>IF(OR($B9="",$B9=0),"",($G9*(EG$14&lt;$I9)+$H9*(EG$14&gt;=$I9))*$C9*(1+'Property Summary'!$I$18)^(EG$13-1))</f>
        <v>43466.315790079396</v>
      </c>
      <c r="EH20" s="102">
        <f>IF(OR($B9="",$B9=0),"",($G9*(EH$14&lt;$I9)+$H9*(EH$14&gt;=$I9))*$C9*(1+'Property Summary'!$I$18)^(EH$13-1))</f>
        <v>43466.315790079396</v>
      </c>
      <c r="EI20" s="102">
        <f>IF(OR($B9="",$B9=0),"",($G9*(EI$14&lt;$I9)+$H9*(EI$14&gt;=$I9))*$C9*(1+'Property Summary'!$I$18)^(EI$13-1))</f>
        <v>43466.315790079396</v>
      </c>
      <c r="EJ20" s="102">
        <f>IF(OR($B9="",$B9=0),"",($G9*(EJ$14&lt;$I9)+$H9*(EJ$14&gt;=$I9))*$C9*(1+'Property Summary'!$I$18)^(EJ$13-1))</f>
        <v>43466.315790079396</v>
      </c>
      <c r="EK20" s="102">
        <f>IF(OR($B9="",$B9=0),"",($G9*(EK$14&lt;$I9)+$H9*(EK$14&gt;=$I9))*$C9*(1+'Property Summary'!$I$18)^(EK$13-1))</f>
        <v>43466.315790079396</v>
      </c>
      <c r="EL20" s="102">
        <f>IF(OR($B9="",$B9=0),"",($G9*(EL$14&lt;$I9)+$H9*(EL$14&gt;=$I9))*$C9*(1+'Property Summary'!$I$18)^(EL$13-1))</f>
        <v>43466.315790079396</v>
      </c>
      <c r="EM20" s="102">
        <f>IF(OR($B9="",$B9=0),"",($G9*(EM$14&lt;$I9)+$H9*(EM$14&gt;=$I9))*$C9*(1+'Property Summary'!$I$18)^(EM$13-1))</f>
        <v>43466.315790079396</v>
      </c>
      <c r="EN20" s="102">
        <f>IF(OR($B9="",$B9=0),"",($G9*(EN$14&lt;$I9)+$H9*(EN$14&gt;=$I9))*$C9*(1+'Property Summary'!$I$18)^(EN$13-1))</f>
        <v>43466.315790079396</v>
      </c>
      <c r="EO20" s="102">
        <f>IF(OR($B9="",$B9=0),"",($G9*(EO$14&lt;$I9)+$H9*(EO$14&gt;=$I9))*$C9*(1+'Property Summary'!$I$18)^(EO$13-1))</f>
        <v>43466.315790079396</v>
      </c>
      <c r="EP20" s="102">
        <f>IF(OR($B9="",$B9=0),"",($G9*(EP$14&lt;$I9)+$H9*(EP$14&gt;=$I9))*$C9*(1+'Property Summary'!$I$18)^(EP$13-1))</f>
        <v>43466.315790079396</v>
      </c>
      <c r="EQ20" s="102">
        <f>IF(OR($B9="",$B9=0),"",($G9*(EQ$14&lt;$I9)+$H9*(EQ$14&gt;=$I9))*$C9*(1+'Property Summary'!$I$18)^(EQ$13-1))</f>
        <v>44118.310526930574</v>
      </c>
      <c r="ER20" s="102">
        <f>IF(OR($B9="",$B9=0),"",($G9*(ER$14&lt;$I9)+$H9*(ER$14&gt;=$I9))*$C9*(1+'Property Summary'!$I$18)^(ER$13-1))</f>
        <v>44118.310526930574</v>
      </c>
      <c r="ES20" s="102">
        <f>IF(OR($B9="",$B9=0),"",($G9*(ES$14&lt;$I9)+$H9*(ES$14&gt;=$I9))*$C9*(1+'Property Summary'!$I$18)^(ES$13-1))</f>
        <v>44118.310526930574</v>
      </c>
      <c r="ET20" s="102">
        <f>IF(OR($B9="",$B9=0),"",($G9*(ET$14&lt;$I9)+$H9*(ET$14&gt;=$I9))*$C9*(1+'Property Summary'!$I$18)^(ET$13-1))</f>
        <v>44118.310526930574</v>
      </c>
      <c r="EU20" s="102">
        <f>IF(OR($B9="",$B9=0),"",($G9*(EU$14&lt;$I9)+$H9*(EU$14&gt;=$I9))*$C9*(1+'Property Summary'!$I$18)^(EU$13-1))</f>
        <v>44118.310526930574</v>
      </c>
      <c r="EV20" s="102">
        <f>IF(OR($B9="",$B9=0),"",($G9*(EV$14&lt;$I9)+$H9*(EV$14&gt;=$I9))*$C9*(1+'Property Summary'!$I$18)^(EV$13-1))</f>
        <v>44118.310526930574</v>
      </c>
      <c r="EW20" s="102">
        <f>IF(OR($B9="",$B9=0),"",($G9*(EW$14&lt;$I9)+$H9*(EW$14&gt;=$I9))*$C9*(1+'Property Summary'!$I$18)^(EW$13-1))</f>
        <v>44118.310526930574</v>
      </c>
      <c r="EX20" s="102">
        <f>IF(OR($B9="",$B9=0),"",($G9*(EX$14&lt;$I9)+$H9*(EX$14&gt;=$I9))*$C9*(1+'Property Summary'!$I$18)^(EX$13-1))</f>
        <v>44118.310526930574</v>
      </c>
      <c r="EY20" s="102">
        <f>IF(OR($B9="",$B9=0),"",($G9*(EY$14&lt;$I9)+$H9*(EY$14&gt;=$I9))*$C9*(1+'Property Summary'!$I$18)^(EY$13-1))</f>
        <v>44118.310526930574</v>
      </c>
      <c r="EZ20" s="102">
        <f>IF(OR($B9="",$B9=0),"",($G9*(EZ$14&lt;$I9)+$H9*(EZ$14&gt;=$I9))*$C9*(1+'Property Summary'!$I$18)^(EZ$13-1))</f>
        <v>44118.310526930574</v>
      </c>
      <c r="FA20" s="102">
        <f>IF(OR($B9="",$B9=0),"",($G9*(FA$14&lt;$I9)+$H9*(FA$14&gt;=$I9))*$C9*(1+'Property Summary'!$I$18)^(FA$13-1))</f>
        <v>44118.310526930574</v>
      </c>
      <c r="FB20" s="102">
        <f>IF(OR($B9="",$B9=0),"",($G9*(FB$14&lt;$I9)+$H9*(FB$14&gt;=$I9))*$C9*(1+'Property Summary'!$I$18)^(FB$13-1))</f>
        <v>44118.310526930574</v>
      </c>
      <c r="FC20" s="102">
        <f>IF(OR($B9="",$B9=0),"",($G9*(FC$14&lt;$I9)+$H9*(FC$14&gt;=$I9))*$C9*(1+'Property Summary'!$I$18)^(FC$13-1))</f>
        <v>44780.085184834534</v>
      </c>
      <c r="FD20" s="102">
        <f>IF(OR($B9="",$B9=0),"",($G9*(FD$14&lt;$I9)+$H9*(FD$14&gt;=$I9))*$C9*(1+'Property Summary'!$I$18)^(FD$13-1))</f>
        <v>44780.085184834534</v>
      </c>
      <c r="FE20" s="102">
        <f>IF(OR($B9="",$B9=0),"",($G9*(FE$14&lt;$I9)+$H9*(FE$14&gt;=$I9))*$C9*(1+'Property Summary'!$I$18)^(FE$13-1))</f>
        <v>44780.085184834534</v>
      </c>
      <c r="FF20" s="102">
        <f>IF(OR($B9="",$B9=0),"",($G9*(FF$14&lt;$I9)+$H9*(FF$14&gt;=$I9))*$C9*(1+'Property Summary'!$I$18)^(FF$13-1))</f>
        <v>44780.085184834534</v>
      </c>
      <c r="FG20" s="102">
        <f>IF(OR($B9="",$B9=0),"",($G9*(FG$14&lt;$I9)+$H9*(FG$14&gt;=$I9))*$C9*(1+'Property Summary'!$I$18)^(FG$13-1))</f>
        <v>44780.085184834534</v>
      </c>
      <c r="FH20" s="102">
        <f>IF(OR($B9="",$B9=0),"",($G9*(FH$14&lt;$I9)+$H9*(FH$14&gt;=$I9))*$C9*(1+'Property Summary'!$I$18)^(FH$13-1))</f>
        <v>44780.085184834534</v>
      </c>
      <c r="FI20" s="102">
        <f>IF(OR($B9="",$B9=0),"",($G9*(FI$14&lt;$I9)+$H9*(FI$14&gt;=$I9))*$C9*(1+'Property Summary'!$I$18)^(FI$13-1))</f>
        <v>44780.085184834534</v>
      </c>
      <c r="FJ20" s="102">
        <f>IF(OR($B9="",$B9=0),"",($G9*(FJ$14&lt;$I9)+$H9*(FJ$14&gt;=$I9))*$C9*(1+'Property Summary'!$I$18)^(FJ$13-1))</f>
        <v>44780.085184834534</v>
      </c>
      <c r="FK20" s="102">
        <f>IF(OR($B9="",$B9=0),"",($G9*(FK$14&lt;$I9)+$H9*(FK$14&gt;=$I9))*$C9*(1+'Property Summary'!$I$18)^(FK$13-1))</f>
        <v>44780.085184834534</v>
      </c>
      <c r="FL20" s="102">
        <f>IF(OR($B9="",$B9=0),"",($G9*(FL$14&lt;$I9)+$H9*(FL$14&gt;=$I9))*$C9*(1+'Property Summary'!$I$18)^(FL$13-1))</f>
        <v>44780.085184834534</v>
      </c>
      <c r="FM20" s="102">
        <f>IF(OR($B9="",$B9=0),"",($G9*(FM$14&lt;$I9)+$H9*(FM$14&gt;=$I9))*$C9*(1+'Property Summary'!$I$18)^(FM$13-1))</f>
        <v>44780.085184834534</v>
      </c>
      <c r="FN20" s="102">
        <f>IF(OR($B9="",$B9=0),"",($G9*(FN$14&lt;$I9)+$H9*(FN$14&gt;=$I9))*$C9*(1+'Property Summary'!$I$18)^(FN$13-1))</f>
        <v>44780.085184834534</v>
      </c>
      <c r="FO20" s="102">
        <f>IF(OR($B9="",$B9=0),"",($G9*(FO$14&lt;$I9)+$H9*(FO$14&gt;=$I9))*$C9*(1+'Property Summary'!$I$18)^(FO$13-1))</f>
        <v>45451.786462607037</v>
      </c>
      <c r="FP20" s="102">
        <f>IF(OR($B9="",$B9=0),"",($G9*(FP$14&lt;$I9)+$H9*(FP$14&gt;=$I9))*$C9*(1+'Property Summary'!$I$18)^(FP$13-1))</f>
        <v>45451.786462607037</v>
      </c>
      <c r="FQ20" s="102">
        <f>IF(OR($B9="",$B9=0),"",($G9*(FQ$14&lt;$I9)+$H9*(FQ$14&gt;=$I9))*$C9*(1+'Property Summary'!$I$18)^(FQ$13-1))</f>
        <v>45451.786462607037</v>
      </c>
      <c r="FR20" s="102">
        <f>IF(OR($B9="",$B9=0),"",($G9*(FR$14&lt;$I9)+$H9*(FR$14&gt;=$I9))*$C9*(1+'Property Summary'!$I$18)^(FR$13-1))</f>
        <v>45451.786462607037</v>
      </c>
      <c r="FS20" s="102">
        <f>IF(OR($B9="",$B9=0),"",($G9*(FS$14&lt;$I9)+$H9*(FS$14&gt;=$I9))*$C9*(1+'Property Summary'!$I$18)^(FS$13-1))</f>
        <v>45451.786462607037</v>
      </c>
      <c r="FT20" s="102">
        <f>IF(OR($B9="",$B9=0),"",($G9*(FT$14&lt;$I9)+$H9*(FT$14&gt;=$I9))*$C9*(1+'Property Summary'!$I$18)^(FT$13-1))</f>
        <v>45451.786462607037</v>
      </c>
      <c r="FU20" s="102">
        <f>IF(OR($B9="",$B9=0),"",($G9*(FU$14&lt;$I9)+$H9*(FU$14&gt;=$I9))*$C9*(1+'Property Summary'!$I$18)^(FU$13-1))</f>
        <v>45451.786462607037</v>
      </c>
      <c r="FV20" s="102">
        <f>IF(OR($B9="",$B9=0),"",($G9*(FV$14&lt;$I9)+$H9*(FV$14&gt;=$I9))*$C9*(1+'Property Summary'!$I$18)^(FV$13-1))</f>
        <v>45451.786462607037</v>
      </c>
      <c r="FW20" s="102">
        <f>IF(OR($B9="",$B9=0),"",($G9*(FW$14&lt;$I9)+$H9*(FW$14&gt;=$I9))*$C9*(1+'Property Summary'!$I$18)^(FW$13-1))</f>
        <v>45451.786462607037</v>
      </c>
      <c r="FX20" s="102">
        <f>IF(OR($B9="",$B9=0),"",($G9*(FX$14&lt;$I9)+$H9*(FX$14&gt;=$I9))*$C9*(1+'Property Summary'!$I$18)^(FX$13-1))</f>
        <v>45451.786462607037</v>
      </c>
      <c r="FY20" s="102">
        <f>IF(OR($B9="",$B9=0),"",($G9*(FY$14&lt;$I9)+$H9*(FY$14&gt;=$I9))*$C9*(1+'Property Summary'!$I$18)^(FY$13-1))</f>
        <v>45451.786462607037</v>
      </c>
      <c r="FZ20" s="103">
        <f>IF(OR($B9="",$B9=0),"",($G9*(FZ$14&lt;$I9)+$H9*(FZ$14&gt;=$I9))*$C9*(1+'Property Summary'!$I$18)^(FZ$13-1))</f>
        <v>45451.786462607037</v>
      </c>
    </row>
    <row r="21" spans="2:182" x14ac:dyDescent="0.2"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6"/>
    </row>
    <row r="22" spans="2:182" x14ac:dyDescent="0.2">
      <c r="B22" s="104" t="s">
        <v>132</v>
      </c>
      <c r="C22" s="105">
        <f>SUM(C16:C21)</f>
        <v>279160</v>
      </c>
      <c r="D22" s="105">
        <f t="shared" ref="D22:BO22" si="179">SUM(D16:D21)</f>
        <v>279160</v>
      </c>
      <c r="E22" s="105">
        <f t="shared" si="179"/>
        <v>279160</v>
      </c>
      <c r="F22" s="105">
        <f t="shared" si="179"/>
        <v>279160</v>
      </c>
      <c r="G22" s="105">
        <f t="shared" si="179"/>
        <v>279160</v>
      </c>
      <c r="H22" s="105">
        <f t="shared" si="179"/>
        <v>279160</v>
      </c>
      <c r="I22" s="105">
        <f t="shared" si="179"/>
        <v>279160</v>
      </c>
      <c r="J22" s="105">
        <f t="shared" si="179"/>
        <v>279160</v>
      </c>
      <c r="K22" s="105">
        <f t="shared" si="179"/>
        <v>279160</v>
      </c>
      <c r="L22" s="105">
        <f t="shared" si="179"/>
        <v>279160</v>
      </c>
      <c r="M22" s="105">
        <f t="shared" si="179"/>
        <v>279160</v>
      </c>
      <c r="N22" s="105">
        <f t="shared" si="179"/>
        <v>279160</v>
      </c>
      <c r="O22" s="105">
        <f t="shared" si="179"/>
        <v>286696.89999999997</v>
      </c>
      <c r="P22" s="105">
        <f t="shared" si="179"/>
        <v>287508.89999999997</v>
      </c>
      <c r="Q22" s="105">
        <f t="shared" si="179"/>
        <v>287508.89999999997</v>
      </c>
      <c r="R22" s="105">
        <f t="shared" si="179"/>
        <v>291406.5</v>
      </c>
      <c r="S22" s="105">
        <f t="shared" si="179"/>
        <v>291406.5</v>
      </c>
      <c r="T22" s="105">
        <f t="shared" si="179"/>
        <v>291406.5</v>
      </c>
      <c r="U22" s="105">
        <f t="shared" si="179"/>
        <v>294451.5</v>
      </c>
      <c r="V22" s="105">
        <f t="shared" si="179"/>
        <v>295974</v>
      </c>
      <c r="W22" s="105">
        <f t="shared" si="179"/>
        <v>295974</v>
      </c>
      <c r="X22" s="105">
        <f t="shared" si="179"/>
        <v>295974</v>
      </c>
      <c r="Y22" s="105">
        <f t="shared" si="179"/>
        <v>295974</v>
      </c>
      <c r="Z22" s="105">
        <f t="shared" si="179"/>
        <v>295974</v>
      </c>
      <c r="AA22" s="105">
        <f t="shared" si="179"/>
        <v>300413.60999999993</v>
      </c>
      <c r="AB22" s="105">
        <f t="shared" si="179"/>
        <v>300413.60999999993</v>
      </c>
      <c r="AC22" s="105">
        <f t="shared" si="179"/>
        <v>300413.60999999993</v>
      </c>
      <c r="AD22" s="105">
        <f t="shared" si="179"/>
        <v>300413.60999999993</v>
      </c>
      <c r="AE22" s="105">
        <f t="shared" si="179"/>
        <v>300413.60999999993</v>
      </c>
      <c r="AF22" s="105">
        <f t="shared" si="179"/>
        <v>300413.60999999993</v>
      </c>
      <c r="AG22" s="105">
        <f t="shared" si="179"/>
        <v>300413.60999999993</v>
      </c>
      <c r="AH22" s="105">
        <f t="shared" si="179"/>
        <v>300413.60999999993</v>
      </c>
      <c r="AI22" s="105">
        <f t="shared" si="179"/>
        <v>300413.60999999993</v>
      </c>
      <c r="AJ22" s="105">
        <f t="shared" si="179"/>
        <v>300413.60999999993</v>
      </c>
      <c r="AK22" s="105">
        <f t="shared" si="179"/>
        <v>300413.60999999993</v>
      </c>
      <c r="AL22" s="105">
        <f t="shared" si="179"/>
        <v>300413.60999999993</v>
      </c>
      <c r="AM22" s="105">
        <f t="shared" si="179"/>
        <v>304919.81414999987</v>
      </c>
      <c r="AN22" s="105">
        <f t="shared" si="179"/>
        <v>304919.81414999987</v>
      </c>
      <c r="AO22" s="105">
        <f t="shared" si="179"/>
        <v>304919.81414999987</v>
      </c>
      <c r="AP22" s="105">
        <f t="shared" si="179"/>
        <v>304919.81414999987</v>
      </c>
      <c r="AQ22" s="105">
        <f t="shared" si="179"/>
        <v>304919.81414999987</v>
      </c>
      <c r="AR22" s="105">
        <f t="shared" si="179"/>
        <v>304919.81414999987</v>
      </c>
      <c r="AS22" s="105">
        <f t="shared" si="179"/>
        <v>304919.81414999987</v>
      </c>
      <c r="AT22" s="105">
        <f t="shared" si="179"/>
        <v>304919.81414999987</v>
      </c>
      <c r="AU22" s="105">
        <f t="shared" si="179"/>
        <v>304919.81414999987</v>
      </c>
      <c r="AV22" s="105">
        <f t="shared" si="179"/>
        <v>304919.81414999987</v>
      </c>
      <c r="AW22" s="105">
        <f t="shared" si="179"/>
        <v>304919.81414999987</v>
      </c>
      <c r="AX22" s="105">
        <f t="shared" si="179"/>
        <v>304919.81414999987</v>
      </c>
      <c r="AY22" s="105">
        <f t="shared" si="179"/>
        <v>309493.61136224982</v>
      </c>
      <c r="AZ22" s="105">
        <f t="shared" si="179"/>
        <v>309493.61136224982</v>
      </c>
      <c r="BA22" s="105">
        <f t="shared" si="179"/>
        <v>309493.61136224982</v>
      </c>
      <c r="BB22" s="105">
        <f t="shared" si="179"/>
        <v>309493.61136224982</v>
      </c>
      <c r="BC22" s="105">
        <f t="shared" si="179"/>
        <v>309493.61136224982</v>
      </c>
      <c r="BD22" s="105">
        <f t="shared" si="179"/>
        <v>309493.61136224982</v>
      </c>
      <c r="BE22" s="105">
        <f t="shared" si="179"/>
        <v>309493.61136224982</v>
      </c>
      <c r="BF22" s="105">
        <f t="shared" si="179"/>
        <v>309493.61136224982</v>
      </c>
      <c r="BG22" s="105">
        <f t="shared" si="179"/>
        <v>309493.61136224982</v>
      </c>
      <c r="BH22" s="105">
        <f t="shared" si="179"/>
        <v>309493.61136224982</v>
      </c>
      <c r="BI22" s="105">
        <f t="shared" si="179"/>
        <v>309493.61136224982</v>
      </c>
      <c r="BJ22" s="105">
        <f t="shared" si="179"/>
        <v>309493.61136224982</v>
      </c>
      <c r="BK22" s="105">
        <f t="shared" si="179"/>
        <v>314136.01553268352</v>
      </c>
      <c r="BL22" s="105">
        <f t="shared" si="179"/>
        <v>314136.01553268352</v>
      </c>
      <c r="BM22" s="105">
        <f t="shared" si="179"/>
        <v>314136.01553268352</v>
      </c>
      <c r="BN22" s="105">
        <f t="shared" si="179"/>
        <v>314136.01553268352</v>
      </c>
      <c r="BO22" s="105">
        <f t="shared" si="179"/>
        <v>314136.01553268352</v>
      </c>
      <c r="BP22" s="105">
        <f t="shared" ref="BP22:EA22" si="180">SUM(BP16:BP21)</f>
        <v>314136.01553268352</v>
      </c>
      <c r="BQ22" s="105">
        <f t="shared" si="180"/>
        <v>314136.01553268352</v>
      </c>
      <c r="BR22" s="105">
        <f t="shared" si="180"/>
        <v>314136.01553268352</v>
      </c>
      <c r="BS22" s="105">
        <f t="shared" si="180"/>
        <v>314136.01553268352</v>
      </c>
      <c r="BT22" s="105">
        <f t="shared" si="180"/>
        <v>314136.01553268352</v>
      </c>
      <c r="BU22" s="105">
        <f t="shared" si="180"/>
        <v>314136.01553268352</v>
      </c>
      <c r="BV22" s="105">
        <f t="shared" si="180"/>
        <v>314136.01553268352</v>
      </c>
      <c r="BW22" s="105">
        <f t="shared" si="180"/>
        <v>318848.05576567375</v>
      </c>
      <c r="BX22" s="105">
        <f t="shared" si="180"/>
        <v>318848.05576567375</v>
      </c>
      <c r="BY22" s="105">
        <f t="shared" si="180"/>
        <v>318848.05576567375</v>
      </c>
      <c r="BZ22" s="105">
        <f t="shared" si="180"/>
        <v>318848.05576567375</v>
      </c>
      <c r="CA22" s="105">
        <f t="shared" si="180"/>
        <v>318848.05576567375</v>
      </c>
      <c r="CB22" s="105">
        <f t="shared" si="180"/>
        <v>318848.05576567375</v>
      </c>
      <c r="CC22" s="105">
        <f t="shared" si="180"/>
        <v>318848.05576567375</v>
      </c>
      <c r="CD22" s="105">
        <f t="shared" si="180"/>
        <v>318848.05576567375</v>
      </c>
      <c r="CE22" s="105">
        <f t="shared" si="180"/>
        <v>318848.05576567375</v>
      </c>
      <c r="CF22" s="105">
        <f t="shared" si="180"/>
        <v>318848.05576567375</v>
      </c>
      <c r="CG22" s="105">
        <f t="shared" si="180"/>
        <v>318848.05576567375</v>
      </c>
      <c r="CH22" s="105">
        <f t="shared" si="180"/>
        <v>318848.05576567375</v>
      </c>
      <c r="CI22" s="105">
        <f t="shared" si="180"/>
        <v>323630.77660215879</v>
      </c>
      <c r="CJ22" s="105">
        <f t="shared" si="180"/>
        <v>323630.77660215879</v>
      </c>
      <c r="CK22" s="105">
        <f t="shared" si="180"/>
        <v>323630.77660215879</v>
      </c>
      <c r="CL22" s="105">
        <f t="shared" si="180"/>
        <v>323630.77660215879</v>
      </c>
      <c r="CM22" s="105">
        <f t="shared" si="180"/>
        <v>323630.77660215879</v>
      </c>
      <c r="CN22" s="105">
        <f t="shared" si="180"/>
        <v>323630.77660215879</v>
      </c>
      <c r="CO22" s="105">
        <f t="shared" si="180"/>
        <v>323630.77660215879</v>
      </c>
      <c r="CP22" s="105">
        <f t="shared" si="180"/>
        <v>323630.77660215879</v>
      </c>
      <c r="CQ22" s="105">
        <f t="shared" si="180"/>
        <v>323630.77660215879</v>
      </c>
      <c r="CR22" s="105">
        <f t="shared" si="180"/>
        <v>323630.77660215879</v>
      </c>
      <c r="CS22" s="105">
        <f t="shared" si="180"/>
        <v>323630.77660215879</v>
      </c>
      <c r="CT22" s="105">
        <f t="shared" si="180"/>
        <v>323630.77660215879</v>
      </c>
      <c r="CU22" s="105">
        <f t="shared" si="180"/>
        <v>328485.23825119116</v>
      </c>
      <c r="CV22" s="105">
        <f t="shared" si="180"/>
        <v>328485.23825119116</v>
      </c>
      <c r="CW22" s="105">
        <f t="shared" si="180"/>
        <v>328485.23825119116</v>
      </c>
      <c r="CX22" s="105">
        <f t="shared" si="180"/>
        <v>328485.23825119116</v>
      </c>
      <c r="CY22" s="105">
        <f t="shared" si="180"/>
        <v>328485.23825119116</v>
      </c>
      <c r="CZ22" s="105">
        <f t="shared" si="180"/>
        <v>328485.23825119116</v>
      </c>
      <c r="DA22" s="105">
        <f t="shared" si="180"/>
        <v>328485.23825119116</v>
      </c>
      <c r="DB22" s="105">
        <f t="shared" si="180"/>
        <v>328485.23825119116</v>
      </c>
      <c r="DC22" s="105">
        <f t="shared" si="180"/>
        <v>328485.23825119116</v>
      </c>
      <c r="DD22" s="105">
        <f t="shared" si="180"/>
        <v>328485.23825119116</v>
      </c>
      <c r="DE22" s="105">
        <f t="shared" si="180"/>
        <v>328485.23825119116</v>
      </c>
      <c r="DF22" s="105">
        <f t="shared" si="180"/>
        <v>328485.23825119116</v>
      </c>
      <c r="DG22" s="105">
        <f t="shared" si="180"/>
        <v>333412.51682495896</v>
      </c>
      <c r="DH22" s="105">
        <f t="shared" si="180"/>
        <v>333412.51682495896</v>
      </c>
      <c r="DI22" s="105">
        <f t="shared" si="180"/>
        <v>333412.51682495896</v>
      </c>
      <c r="DJ22" s="105">
        <f t="shared" si="180"/>
        <v>333412.51682495896</v>
      </c>
      <c r="DK22" s="105">
        <f t="shared" si="180"/>
        <v>333412.51682495896</v>
      </c>
      <c r="DL22" s="105">
        <f t="shared" si="180"/>
        <v>333412.51682495896</v>
      </c>
      <c r="DM22" s="105">
        <f t="shared" si="180"/>
        <v>333412.51682495896</v>
      </c>
      <c r="DN22" s="105">
        <f t="shared" si="180"/>
        <v>333412.51682495896</v>
      </c>
      <c r="DO22" s="105">
        <f t="shared" si="180"/>
        <v>333412.51682495896</v>
      </c>
      <c r="DP22" s="105">
        <f t="shared" si="180"/>
        <v>333412.51682495896</v>
      </c>
      <c r="DQ22" s="105">
        <f t="shared" si="180"/>
        <v>333412.51682495896</v>
      </c>
      <c r="DR22" s="105">
        <f t="shared" si="180"/>
        <v>333412.51682495896</v>
      </c>
      <c r="DS22" s="105">
        <f t="shared" si="180"/>
        <v>338413.70457733335</v>
      </c>
      <c r="DT22" s="105">
        <f t="shared" si="180"/>
        <v>338413.70457733335</v>
      </c>
      <c r="DU22" s="105">
        <f t="shared" si="180"/>
        <v>338413.70457733335</v>
      </c>
      <c r="DV22" s="105">
        <f t="shared" si="180"/>
        <v>338413.70457733335</v>
      </c>
      <c r="DW22" s="105">
        <f t="shared" si="180"/>
        <v>338413.70457733335</v>
      </c>
      <c r="DX22" s="105">
        <f t="shared" si="180"/>
        <v>338413.70457733335</v>
      </c>
      <c r="DY22" s="105">
        <f t="shared" si="180"/>
        <v>338413.70457733335</v>
      </c>
      <c r="DZ22" s="105">
        <f t="shared" si="180"/>
        <v>338413.70457733335</v>
      </c>
      <c r="EA22" s="105">
        <f t="shared" si="180"/>
        <v>338413.70457733335</v>
      </c>
      <c r="EB22" s="105">
        <f t="shared" ref="EB22:FZ22" si="181">SUM(EB16:EB21)</f>
        <v>338413.70457733335</v>
      </c>
      <c r="EC22" s="105">
        <f t="shared" si="181"/>
        <v>338413.70457733335</v>
      </c>
      <c r="ED22" s="105">
        <f t="shared" si="181"/>
        <v>338413.70457733335</v>
      </c>
      <c r="EE22" s="105">
        <f t="shared" si="181"/>
        <v>343489.91014599334</v>
      </c>
      <c r="EF22" s="105">
        <f t="shared" si="181"/>
        <v>343489.91014599334</v>
      </c>
      <c r="EG22" s="105">
        <f t="shared" si="181"/>
        <v>343489.91014599334</v>
      </c>
      <c r="EH22" s="105">
        <f t="shared" si="181"/>
        <v>343489.91014599334</v>
      </c>
      <c r="EI22" s="105">
        <f t="shared" si="181"/>
        <v>343489.91014599334</v>
      </c>
      <c r="EJ22" s="105">
        <f t="shared" si="181"/>
        <v>343489.91014599334</v>
      </c>
      <c r="EK22" s="105">
        <f t="shared" si="181"/>
        <v>343489.91014599334</v>
      </c>
      <c r="EL22" s="105">
        <f t="shared" si="181"/>
        <v>343489.91014599334</v>
      </c>
      <c r="EM22" s="105">
        <f t="shared" si="181"/>
        <v>343489.91014599334</v>
      </c>
      <c r="EN22" s="105">
        <f t="shared" si="181"/>
        <v>343489.91014599334</v>
      </c>
      <c r="EO22" s="105">
        <f t="shared" si="181"/>
        <v>343489.91014599334</v>
      </c>
      <c r="EP22" s="105">
        <f t="shared" si="181"/>
        <v>343489.91014599334</v>
      </c>
      <c r="EQ22" s="105">
        <f t="shared" si="181"/>
        <v>348642.25879818312</v>
      </c>
      <c r="ER22" s="105">
        <f t="shared" si="181"/>
        <v>348642.25879818312</v>
      </c>
      <c r="ES22" s="105">
        <f t="shared" si="181"/>
        <v>348642.25879818312</v>
      </c>
      <c r="ET22" s="105">
        <f t="shared" si="181"/>
        <v>348642.25879818312</v>
      </c>
      <c r="EU22" s="105">
        <f t="shared" si="181"/>
        <v>348642.25879818312</v>
      </c>
      <c r="EV22" s="105">
        <f t="shared" si="181"/>
        <v>348642.25879818312</v>
      </c>
      <c r="EW22" s="105">
        <f t="shared" si="181"/>
        <v>348642.25879818312</v>
      </c>
      <c r="EX22" s="105">
        <f t="shared" si="181"/>
        <v>348642.25879818312</v>
      </c>
      <c r="EY22" s="105">
        <f t="shared" si="181"/>
        <v>348642.25879818312</v>
      </c>
      <c r="EZ22" s="105">
        <f t="shared" si="181"/>
        <v>348642.25879818312</v>
      </c>
      <c r="FA22" s="105">
        <f t="shared" si="181"/>
        <v>348642.25879818312</v>
      </c>
      <c r="FB22" s="105">
        <f t="shared" si="181"/>
        <v>348642.25879818312</v>
      </c>
      <c r="FC22" s="105">
        <f t="shared" si="181"/>
        <v>353871.89268015581</v>
      </c>
      <c r="FD22" s="105">
        <f t="shared" si="181"/>
        <v>353871.89268015581</v>
      </c>
      <c r="FE22" s="105">
        <f t="shared" si="181"/>
        <v>353871.89268015581</v>
      </c>
      <c r="FF22" s="105">
        <f t="shared" si="181"/>
        <v>353871.89268015581</v>
      </c>
      <c r="FG22" s="105">
        <f t="shared" si="181"/>
        <v>353871.89268015581</v>
      </c>
      <c r="FH22" s="105">
        <f t="shared" si="181"/>
        <v>353871.89268015581</v>
      </c>
      <c r="FI22" s="105">
        <f t="shared" si="181"/>
        <v>353871.89268015581</v>
      </c>
      <c r="FJ22" s="105">
        <f t="shared" si="181"/>
        <v>353871.89268015581</v>
      </c>
      <c r="FK22" s="105">
        <f t="shared" si="181"/>
        <v>353871.89268015581</v>
      </c>
      <c r="FL22" s="105">
        <f t="shared" si="181"/>
        <v>353871.89268015581</v>
      </c>
      <c r="FM22" s="105">
        <f t="shared" si="181"/>
        <v>353871.89268015581</v>
      </c>
      <c r="FN22" s="105">
        <f t="shared" si="181"/>
        <v>353871.89268015581</v>
      </c>
      <c r="FO22" s="105">
        <f t="shared" si="181"/>
        <v>359179.97107035806</v>
      </c>
      <c r="FP22" s="105">
        <f t="shared" si="181"/>
        <v>359179.97107035806</v>
      </c>
      <c r="FQ22" s="105">
        <f t="shared" si="181"/>
        <v>359179.97107035806</v>
      </c>
      <c r="FR22" s="105">
        <f t="shared" si="181"/>
        <v>359179.97107035806</v>
      </c>
      <c r="FS22" s="105">
        <f t="shared" si="181"/>
        <v>359179.97107035806</v>
      </c>
      <c r="FT22" s="105">
        <f t="shared" si="181"/>
        <v>359179.97107035806</v>
      </c>
      <c r="FU22" s="105">
        <f t="shared" si="181"/>
        <v>359179.97107035806</v>
      </c>
      <c r="FV22" s="105">
        <f t="shared" si="181"/>
        <v>359179.97107035806</v>
      </c>
      <c r="FW22" s="105">
        <f t="shared" si="181"/>
        <v>359179.97107035806</v>
      </c>
      <c r="FX22" s="105">
        <f t="shared" si="181"/>
        <v>359179.97107035806</v>
      </c>
      <c r="FY22" s="105">
        <f t="shared" si="181"/>
        <v>359179.97107035806</v>
      </c>
      <c r="FZ22" s="106">
        <f t="shared" si="181"/>
        <v>359179.97107035806</v>
      </c>
    </row>
    <row r="24" spans="2:182" x14ac:dyDescent="0.2">
      <c r="B24" s="74" t="s">
        <v>133</v>
      </c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6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</row>
    <row r="25" spans="2:182" x14ac:dyDescent="0.2">
      <c r="B25" s="77" t="s">
        <v>87</v>
      </c>
      <c r="C25" s="78">
        <f>ROUNDUP(C26/12,0)</f>
        <v>1</v>
      </c>
      <c r="D25" s="78">
        <f t="shared" ref="D25:BO25" si="182">ROUNDUP(D26/12,0)</f>
        <v>1</v>
      </c>
      <c r="E25" s="78">
        <f t="shared" si="182"/>
        <v>1</v>
      </c>
      <c r="F25" s="78">
        <f t="shared" si="182"/>
        <v>1</v>
      </c>
      <c r="G25" s="78">
        <f t="shared" si="182"/>
        <v>1</v>
      </c>
      <c r="H25" s="78">
        <f t="shared" si="182"/>
        <v>1</v>
      </c>
      <c r="I25" s="78">
        <f t="shared" si="182"/>
        <v>1</v>
      </c>
      <c r="J25" s="78">
        <f t="shared" si="182"/>
        <v>1</v>
      </c>
      <c r="K25" s="78">
        <f t="shared" si="182"/>
        <v>1</v>
      </c>
      <c r="L25" s="78">
        <f t="shared" si="182"/>
        <v>1</v>
      </c>
      <c r="M25" s="78">
        <f t="shared" si="182"/>
        <v>1</v>
      </c>
      <c r="N25" s="78">
        <f t="shared" si="182"/>
        <v>1</v>
      </c>
      <c r="O25" s="78">
        <f t="shared" si="182"/>
        <v>2</v>
      </c>
      <c r="P25" s="78">
        <f t="shared" si="182"/>
        <v>2</v>
      </c>
      <c r="Q25" s="78">
        <f t="shared" si="182"/>
        <v>2</v>
      </c>
      <c r="R25" s="78">
        <f t="shared" si="182"/>
        <v>2</v>
      </c>
      <c r="S25" s="78">
        <f t="shared" si="182"/>
        <v>2</v>
      </c>
      <c r="T25" s="78">
        <f t="shared" si="182"/>
        <v>2</v>
      </c>
      <c r="U25" s="78">
        <f t="shared" si="182"/>
        <v>2</v>
      </c>
      <c r="V25" s="78">
        <f t="shared" si="182"/>
        <v>2</v>
      </c>
      <c r="W25" s="78">
        <f t="shared" si="182"/>
        <v>2</v>
      </c>
      <c r="X25" s="78">
        <f t="shared" si="182"/>
        <v>2</v>
      </c>
      <c r="Y25" s="78">
        <f t="shared" si="182"/>
        <v>2</v>
      </c>
      <c r="Z25" s="78">
        <f t="shared" si="182"/>
        <v>2</v>
      </c>
      <c r="AA25" s="78">
        <f t="shared" si="182"/>
        <v>3</v>
      </c>
      <c r="AB25" s="78">
        <f t="shared" si="182"/>
        <v>3</v>
      </c>
      <c r="AC25" s="78">
        <f t="shared" si="182"/>
        <v>3</v>
      </c>
      <c r="AD25" s="78">
        <f t="shared" si="182"/>
        <v>3</v>
      </c>
      <c r="AE25" s="78">
        <f t="shared" si="182"/>
        <v>3</v>
      </c>
      <c r="AF25" s="78">
        <f t="shared" si="182"/>
        <v>3</v>
      </c>
      <c r="AG25" s="78">
        <f t="shared" si="182"/>
        <v>3</v>
      </c>
      <c r="AH25" s="78">
        <f t="shared" si="182"/>
        <v>3</v>
      </c>
      <c r="AI25" s="78">
        <f t="shared" si="182"/>
        <v>3</v>
      </c>
      <c r="AJ25" s="78">
        <f t="shared" si="182"/>
        <v>3</v>
      </c>
      <c r="AK25" s="78">
        <f t="shared" si="182"/>
        <v>3</v>
      </c>
      <c r="AL25" s="78">
        <f t="shared" si="182"/>
        <v>3</v>
      </c>
      <c r="AM25" s="78">
        <f t="shared" si="182"/>
        <v>4</v>
      </c>
      <c r="AN25" s="78">
        <f t="shared" si="182"/>
        <v>4</v>
      </c>
      <c r="AO25" s="78">
        <f t="shared" si="182"/>
        <v>4</v>
      </c>
      <c r="AP25" s="78">
        <f t="shared" si="182"/>
        <v>4</v>
      </c>
      <c r="AQ25" s="78">
        <f t="shared" si="182"/>
        <v>4</v>
      </c>
      <c r="AR25" s="78">
        <f t="shared" si="182"/>
        <v>4</v>
      </c>
      <c r="AS25" s="78">
        <f t="shared" si="182"/>
        <v>4</v>
      </c>
      <c r="AT25" s="78">
        <f t="shared" si="182"/>
        <v>4</v>
      </c>
      <c r="AU25" s="78">
        <f t="shared" si="182"/>
        <v>4</v>
      </c>
      <c r="AV25" s="78">
        <f t="shared" si="182"/>
        <v>4</v>
      </c>
      <c r="AW25" s="78">
        <f t="shared" si="182"/>
        <v>4</v>
      </c>
      <c r="AX25" s="78">
        <f t="shared" si="182"/>
        <v>4</v>
      </c>
      <c r="AY25" s="78">
        <f t="shared" si="182"/>
        <v>5</v>
      </c>
      <c r="AZ25" s="78">
        <f t="shared" si="182"/>
        <v>5</v>
      </c>
      <c r="BA25" s="78">
        <f t="shared" si="182"/>
        <v>5</v>
      </c>
      <c r="BB25" s="78">
        <f t="shared" si="182"/>
        <v>5</v>
      </c>
      <c r="BC25" s="78">
        <f t="shared" si="182"/>
        <v>5</v>
      </c>
      <c r="BD25" s="78">
        <f t="shared" si="182"/>
        <v>5</v>
      </c>
      <c r="BE25" s="78">
        <f t="shared" si="182"/>
        <v>5</v>
      </c>
      <c r="BF25" s="78">
        <f t="shared" si="182"/>
        <v>5</v>
      </c>
      <c r="BG25" s="78">
        <f t="shared" si="182"/>
        <v>5</v>
      </c>
      <c r="BH25" s="78">
        <f t="shared" si="182"/>
        <v>5</v>
      </c>
      <c r="BI25" s="78">
        <f t="shared" si="182"/>
        <v>5</v>
      </c>
      <c r="BJ25" s="78">
        <f t="shared" si="182"/>
        <v>5</v>
      </c>
      <c r="BK25" s="78">
        <f t="shared" si="182"/>
        <v>6</v>
      </c>
      <c r="BL25" s="78">
        <f t="shared" si="182"/>
        <v>6</v>
      </c>
      <c r="BM25" s="78">
        <f t="shared" si="182"/>
        <v>6</v>
      </c>
      <c r="BN25" s="78">
        <f t="shared" si="182"/>
        <v>6</v>
      </c>
      <c r="BO25" s="78">
        <f t="shared" si="182"/>
        <v>6</v>
      </c>
      <c r="BP25" s="78">
        <f t="shared" ref="BP25:EA25" si="183">ROUNDUP(BP26/12,0)</f>
        <v>6</v>
      </c>
      <c r="BQ25" s="78">
        <f t="shared" si="183"/>
        <v>6</v>
      </c>
      <c r="BR25" s="78">
        <f t="shared" si="183"/>
        <v>6</v>
      </c>
      <c r="BS25" s="78">
        <f t="shared" si="183"/>
        <v>6</v>
      </c>
      <c r="BT25" s="78">
        <f t="shared" si="183"/>
        <v>6</v>
      </c>
      <c r="BU25" s="78">
        <f t="shared" si="183"/>
        <v>6</v>
      </c>
      <c r="BV25" s="78">
        <f t="shared" si="183"/>
        <v>6</v>
      </c>
      <c r="BW25" s="78">
        <f t="shared" si="183"/>
        <v>7</v>
      </c>
      <c r="BX25" s="78">
        <f t="shared" si="183"/>
        <v>7</v>
      </c>
      <c r="BY25" s="78">
        <f t="shared" si="183"/>
        <v>7</v>
      </c>
      <c r="BZ25" s="78">
        <f t="shared" si="183"/>
        <v>7</v>
      </c>
      <c r="CA25" s="78">
        <f t="shared" si="183"/>
        <v>7</v>
      </c>
      <c r="CB25" s="78">
        <f t="shared" si="183"/>
        <v>7</v>
      </c>
      <c r="CC25" s="78">
        <f t="shared" si="183"/>
        <v>7</v>
      </c>
      <c r="CD25" s="78">
        <f t="shared" si="183"/>
        <v>7</v>
      </c>
      <c r="CE25" s="78">
        <f t="shared" si="183"/>
        <v>7</v>
      </c>
      <c r="CF25" s="78">
        <f t="shared" si="183"/>
        <v>7</v>
      </c>
      <c r="CG25" s="78">
        <f t="shared" si="183"/>
        <v>7</v>
      </c>
      <c r="CH25" s="78">
        <f t="shared" si="183"/>
        <v>7</v>
      </c>
      <c r="CI25" s="78">
        <f t="shared" si="183"/>
        <v>8</v>
      </c>
      <c r="CJ25" s="78">
        <f t="shared" si="183"/>
        <v>8</v>
      </c>
      <c r="CK25" s="78">
        <f t="shared" si="183"/>
        <v>8</v>
      </c>
      <c r="CL25" s="78">
        <f t="shared" si="183"/>
        <v>8</v>
      </c>
      <c r="CM25" s="78">
        <f t="shared" si="183"/>
        <v>8</v>
      </c>
      <c r="CN25" s="78">
        <f t="shared" si="183"/>
        <v>8</v>
      </c>
      <c r="CO25" s="78">
        <f t="shared" si="183"/>
        <v>8</v>
      </c>
      <c r="CP25" s="78">
        <f t="shared" si="183"/>
        <v>8</v>
      </c>
      <c r="CQ25" s="78">
        <f t="shared" si="183"/>
        <v>8</v>
      </c>
      <c r="CR25" s="78">
        <f t="shared" si="183"/>
        <v>8</v>
      </c>
      <c r="CS25" s="78">
        <f t="shared" si="183"/>
        <v>8</v>
      </c>
      <c r="CT25" s="78">
        <f t="shared" si="183"/>
        <v>8</v>
      </c>
      <c r="CU25" s="78">
        <f t="shared" si="183"/>
        <v>9</v>
      </c>
      <c r="CV25" s="78">
        <f t="shared" si="183"/>
        <v>9</v>
      </c>
      <c r="CW25" s="78">
        <f t="shared" si="183"/>
        <v>9</v>
      </c>
      <c r="CX25" s="78">
        <f t="shared" si="183"/>
        <v>9</v>
      </c>
      <c r="CY25" s="78">
        <f t="shared" si="183"/>
        <v>9</v>
      </c>
      <c r="CZ25" s="78">
        <f t="shared" si="183"/>
        <v>9</v>
      </c>
      <c r="DA25" s="78">
        <f t="shared" si="183"/>
        <v>9</v>
      </c>
      <c r="DB25" s="78">
        <f t="shared" si="183"/>
        <v>9</v>
      </c>
      <c r="DC25" s="78">
        <f t="shared" si="183"/>
        <v>9</v>
      </c>
      <c r="DD25" s="78">
        <f t="shared" si="183"/>
        <v>9</v>
      </c>
      <c r="DE25" s="78">
        <f t="shared" si="183"/>
        <v>9</v>
      </c>
      <c r="DF25" s="78">
        <f t="shared" si="183"/>
        <v>9</v>
      </c>
      <c r="DG25" s="78">
        <f t="shared" si="183"/>
        <v>10</v>
      </c>
      <c r="DH25" s="78">
        <f t="shared" si="183"/>
        <v>10</v>
      </c>
      <c r="DI25" s="78">
        <f t="shared" si="183"/>
        <v>10</v>
      </c>
      <c r="DJ25" s="78">
        <f t="shared" si="183"/>
        <v>10</v>
      </c>
      <c r="DK25" s="78">
        <f t="shared" si="183"/>
        <v>10</v>
      </c>
      <c r="DL25" s="78">
        <f t="shared" si="183"/>
        <v>10</v>
      </c>
      <c r="DM25" s="78">
        <f t="shared" si="183"/>
        <v>10</v>
      </c>
      <c r="DN25" s="78">
        <f t="shared" si="183"/>
        <v>10</v>
      </c>
      <c r="DO25" s="78">
        <f t="shared" si="183"/>
        <v>10</v>
      </c>
      <c r="DP25" s="78">
        <f t="shared" si="183"/>
        <v>10</v>
      </c>
      <c r="DQ25" s="78">
        <f t="shared" si="183"/>
        <v>10</v>
      </c>
      <c r="DR25" s="78">
        <f t="shared" si="183"/>
        <v>10</v>
      </c>
      <c r="DS25" s="78">
        <f t="shared" si="183"/>
        <v>11</v>
      </c>
      <c r="DT25" s="78">
        <f t="shared" si="183"/>
        <v>11</v>
      </c>
      <c r="DU25" s="78">
        <f t="shared" si="183"/>
        <v>11</v>
      </c>
      <c r="DV25" s="78">
        <f t="shared" si="183"/>
        <v>11</v>
      </c>
      <c r="DW25" s="78">
        <f t="shared" si="183"/>
        <v>11</v>
      </c>
      <c r="DX25" s="78">
        <f t="shared" si="183"/>
        <v>11</v>
      </c>
      <c r="DY25" s="78">
        <f t="shared" si="183"/>
        <v>11</v>
      </c>
      <c r="DZ25" s="78">
        <f t="shared" si="183"/>
        <v>11</v>
      </c>
      <c r="EA25" s="78">
        <f t="shared" si="183"/>
        <v>11</v>
      </c>
      <c r="EB25" s="78">
        <f t="shared" ref="EB25:FZ25" si="184">ROUNDUP(EB26/12,0)</f>
        <v>11</v>
      </c>
      <c r="EC25" s="78">
        <f t="shared" si="184"/>
        <v>11</v>
      </c>
      <c r="ED25" s="78">
        <f t="shared" si="184"/>
        <v>11</v>
      </c>
      <c r="EE25" s="78">
        <f t="shared" si="184"/>
        <v>12</v>
      </c>
      <c r="EF25" s="78">
        <f t="shared" si="184"/>
        <v>12</v>
      </c>
      <c r="EG25" s="78">
        <f t="shared" si="184"/>
        <v>12</v>
      </c>
      <c r="EH25" s="78">
        <f t="shared" si="184"/>
        <v>12</v>
      </c>
      <c r="EI25" s="78">
        <f t="shared" si="184"/>
        <v>12</v>
      </c>
      <c r="EJ25" s="78">
        <f t="shared" si="184"/>
        <v>12</v>
      </c>
      <c r="EK25" s="78">
        <f t="shared" si="184"/>
        <v>12</v>
      </c>
      <c r="EL25" s="78">
        <f t="shared" si="184"/>
        <v>12</v>
      </c>
      <c r="EM25" s="78">
        <f t="shared" si="184"/>
        <v>12</v>
      </c>
      <c r="EN25" s="78">
        <f t="shared" si="184"/>
        <v>12</v>
      </c>
      <c r="EO25" s="78">
        <f t="shared" si="184"/>
        <v>12</v>
      </c>
      <c r="EP25" s="78">
        <f t="shared" si="184"/>
        <v>12</v>
      </c>
      <c r="EQ25" s="78">
        <f t="shared" si="184"/>
        <v>13</v>
      </c>
      <c r="ER25" s="78">
        <f t="shared" si="184"/>
        <v>13</v>
      </c>
      <c r="ES25" s="78">
        <f t="shared" si="184"/>
        <v>13</v>
      </c>
      <c r="ET25" s="78">
        <f t="shared" si="184"/>
        <v>13</v>
      </c>
      <c r="EU25" s="78">
        <f t="shared" si="184"/>
        <v>13</v>
      </c>
      <c r="EV25" s="78">
        <f t="shared" si="184"/>
        <v>13</v>
      </c>
      <c r="EW25" s="78">
        <f t="shared" si="184"/>
        <v>13</v>
      </c>
      <c r="EX25" s="78">
        <f t="shared" si="184"/>
        <v>13</v>
      </c>
      <c r="EY25" s="78">
        <f t="shared" si="184"/>
        <v>13</v>
      </c>
      <c r="EZ25" s="78">
        <f t="shared" si="184"/>
        <v>13</v>
      </c>
      <c r="FA25" s="78">
        <f t="shared" si="184"/>
        <v>13</v>
      </c>
      <c r="FB25" s="78">
        <f t="shared" si="184"/>
        <v>13</v>
      </c>
      <c r="FC25" s="78">
        <f t="shared" si="184"/>
        <v>14</v>
      </c>
      <c r="FD25" s="78">
        <f t="shared" si="184"/>
        <v>14</v>
      </c>
      <c r="FE25" s="78">
        <f t="shared" si="184"/>
        <v>14</v>
      </c>
      <c r="FF25" s="78">
        <f t="shared" si="184"/>
        <v>14</v>
      </c>
      <c r="FG25" s="78">
        <f t="shared" si="184"/>
        <v>14</v>
      </c>
      <c r="FH25" s="78">
        <f t="shared" si="184"/>
        <v>14</v>
      </c>
      <c r="FI25" s="78">
        <f t="shared" si="184"/>
        <v>14</v>
      </c>
      <c r="FJ25" s="78">
        <f t="shared" si="184"/>
        <v>14</v>
      </c>
      <c r="FK25" s="78">
        <f t="shared" si="184"/>
        <v>14</v>
      </c>
      <c r="FL25" s="78">
        <f t="shared" si="184"/>
        <v>14</v>
      </c>
      <c r="FM25" s="78">
        <f t="shared" si="184"/>
        <v>14</v>
      </c>
      <c r="FN25" s="78">
        <f t="shared" si="184"/>
        <v>14</v>
      </c>
      <c r="FO25" s="78">
        <f t="shared" si="184"/>
        <v>15</v>
      </c>
      <c r="FP25" s="78">
        <f t="shared" si="184"/>
        <v>15</v>
      </c>
      <c r="FQ25" s="78">
        <f t="shared" si="184"/>
        <v>15</v>
      </c>
      <c r="FR25" s="78">
        <f t="shared" si="184"/>
        <v>15</v>
      </c>
      <c r="FS25" s="78">
        <f t="shared" si="184"/>
        <v>15</v>
      </c>
      <c r="FT25" s="78">
        <f t="shared" si="184"/>
        <v>15</v>
      </c>
      <c r="FU25" s="78">
        <f t="shared" si="184"/>
        <v>15</v>
      </c>
      <c r="FV25" s="78">
        <f t="shared" si="184"/>
        <v>15</v>
      </c>
      <c r="FW25" s="78">
        <f t="shared" si="184"/>
        <v>15</v>
      </c>
      <c r="FX25" s="78">
        <f t="shared" si="184"/>
        <v>15</v>
      </c>
      <c r="FY25" s="78">
        <f t="shared" si="184"/>
        <v>15</v>
      </c>
      <c r="FZ25" s="79">
        <f t="shared" si="184"/>
        <v>15</v>
      </c>
    </row>
    <row r="26" spans="2:182" x14ac:dyDescent="0.2">
      <c r="B26" s="80" t="s">
        <v>130</v>
      </c>
      <c r="C26" s="81">
        <v>1</v>
      </c>
      <c r="D26" s="81">
        <f>C26+1</f>
        <v>2</v>
      </c>
      <c r="E26" s="81">
        <f t="shared" ref="E26:BP26" si="185">D26+1</f>
        <v>3</v>
      </c>
      <c r="F26" s="81">
        <f t="shared" si="185"/>
        <v>4</v>
      </c>
      <c r="G26" s="81">
        <f t="shared" si="185"/>
        <v>5</v>
      </c>
      <c r="H26" s="81">
        <f t="shared" si="185"/>
        <v>6</v>
      </c>
      <c r="I26" s="81">
        <f t="shared" si="185"/>
        <v>7</v>
      </c>
      <c r="J26" s="81">
        <f t="shared" si="185"/>
        <v>8</v>
      </c>
      <c r="K26" s="81">
        <f t="shared" si="185"/>
        <v>9</v>
      </c>
      <c r="L26" s="81">
        <f t="shared" si="185"/>
        <v>10</v>
      </c>
      <c r="M26" s="81">
        <f t="shared" si="185"/>
        <v>11</v>
      </c>
      <c r="N26" s="81">
        <f t="shared" si="185"/>
        <v>12</v>
      </c>
      <c r="O26" s="81">
        <f t="shared" si="185"/>
        <v>13</v>
      </c>
      <c r="P26" s="81">
        <f t="shared" si="185"/>
        <v>14</v>
      </c>
      <c r="Q26" s="81">
        <f t="shared" si="185"/>
        <v>15</v>
      </c>
      <c r="R26" s="81">
        <f t="shared" si="185"/>
        <v>16</v>
      </c>
      <c r="S26" s="81">
        <f t="shared" si="185"/>
        <v>17</v>
      </c>
      <c r="T26" s="81">
        <f t="shared" si="185"/>
        <v>18</v>
      </c>
      <c r="U26" s="81">
        <f t="shared" si="185"/>
        <v>19</v>
      </c>
      <c r="V26" s="81">
        <f t="shared" si="185"/>
        <v>20</v>
      </c>
      <c r="W26" s="81">
        <f t="shared" si="185"/>
        <v>21</v>
      </c>
      <c r="X26" s="81">
        <f t="shared" si="185"/>
        <v>22</v>
      </c>
      <c r="Y26" s="81">
        <f t="shared" si="185"/>
        <v>23</v>
      </c>
      <c r="Z26" s="81">
        <f t="shared" si="185"/>
        <v>24</v>
      </c>
      <c r="AA26" s="81">
        <f t="shared" si="185"/>
        <v>25</v>
      </c>
      <c r="AB26" s="81">
        <f t="shared" si="185"/>
        <v>26</v>
      </c>
      <c r="AC26" s="81">
        <f t="shared" si="185"/>
        <v>27</v>
      </c>
      <c r="AD26" s="81">
        <f t="shared" si="185"/>
        <v>28</v>
      </c>
      <c r="AE26" s="81">
        <f t="shared" si="185"/>
        <v>29</v>
      </c>
      <c r="AF26" s="81">
        <f t="shared" si="185"/>
        <v>30</v>
      </c>
      <c r="AG26" s="81">
        <f t="shared" si="185"/>
        <v>31</v>
      </c>
      <c r="AH26" s="81">
        <f t="shared" si="185"/>
        <v>32</v>
      </c>
      <c r="AI26" s="81">
        <f t="shared" si="185"/>
        <v>33</v>
      </c>
      <c r="AJ26" s="81">
        <f t="shared" si="185"/>
        <v>34</v>
      </c>
      <c r="AK26" s="81">
        <f t="shared" si="185"/>
        <v>35</v>
      </c>
      <c r="AL26" s="81">
        <f t="shared" si="185"/>
        <v>36</v>
      </c>
      <c r="AM26" s="81">
        <f t="shared" si="185"/>
        <v>37</v>
      </c>
      <c r="AN26" s="81">
        <f t="shared" si="185"/>
        <v>38</v>
      </c>
      <c r="AO26" s="81">
        <f t="shared" si="185"/>
        <v>39</v>
      </c>
      <c r="AP26" s="81">
        <f t="shared" si="185"/>
        <v>40</v>
      </c>
      <c r="AQ26" s="81">
        <f t="shared" si="185"/>
        <v>41</v>
      </c>
      <c r="AR26" s="81">
        <f t="shared" si="185"/>
        <v>42</v>
      </c>
      <c r="AS26" s="81">
        <f t="shared" si="185"/>
        <v>43</v>
      </c>
      <c r="AT26" s="81">
        <f t="shared" si="185"/>
        <v>44</v>
      </c>
      <c r="AU26" s="81">
        <f t="shared" si="185"/>
        <v>45</v>
      </c>
      <c r="AV26" s="81">
        <f t="shared" si="185"/>
        <v>46</v>
      </c>
      <c r="AW26" s="81">
        <f t="shared" si="185"/>
        <v>47</v>
      </c>
      <c r="AX26" s="81">
        <f t="shared" si="185"/>
        <v>48</v>
      </c>
      <c r="AY26" s="81">
        <f t="shared" si="185"/>
        <v>49</v>
      </c>
      <c r="AZ26" s="81">
        <f t="shared" si="185"/>
        <v>50</v>
      </c>
      <c r="BA26" s="81">
        <f t="shared" si="185"/>
        <v>51</v>
      </c>
      <c r="BB26" s="81">
        <f t="shared" si="185"/>
        <v>52</v>
      </c>
      <c r="BC26" s="81">
        <f t="shared" si="185"/>
        <v>53</v>
      </c>
      <c r="BD26" s="81">
        <f t="shared" si="185"/>
        <v>54</v>
      </c>
      <c r="BE26" s="81">
        <f t="shared" si="185"/>
        <v>55</v>
      </c>
      <c r="BF26" s="81">
        <f t="shared" si="185"/>
        <v>56</v>
      </c>
      <c r="BG26" s="81">
        <f t="shared" si="185"/>
        <v>57</v>
      </c>
      <c r="BH26" s="81">
        <f t="shared" si="185"/>
        <v>58</v>
      </c>
      <c r="BI26" s="81">
        <f t="shared" si="185"/>
        <v>59</v>
      </c>
      <c r="BJ26" s="81">
        <f t="shared" si="185"/>
        <v>60</v>
      </c>
      <c r="BK26" s="81">
        <f t="shared" si="185"/>
        <v>61</v>
      </c>
      <c r="BL26" s="81">
        <f t="shared" si="185"/>
        <v>62</v>
      </c>
      <c r="BM26" s="81">
        <f t="shared" si="185"/>
        <v>63</v>
      </c>
      <c r="BN26" s="81">
        <f t="shared" si="185"/>
        <v>64</v>
      </c>
      <c r="BO26" s="81">
        <f t="shared" si="185"/>
        <v>65</v>
      </c>
      <c r="BP26" s="81">
        <f t="shared" si="185"/>
        <v>66</v>
      </c>
      <c r="BQ26" s="81">
        <f t="shared" ref="BQ26:EB26" si="186">BP26+1</f>
        <v>67</v>
      </c>
      <c r="BR26" s="81">
        <f t="shared" si="186"/>
        <v>68</v>
      </c>
      <c r="BS26" s="81">
        <f t="shared" si="186"/>
        <v>69</v>
      </c>
      <c r="BT26" s="81">
        <f t="shared" si="186"/>
        <v>70</v>
      </c>
      <c r="BU26" s="81">
        <f t="shared" si="186"/>
        <v>71</v>
      </c>
      <c r="BV26" s="81">
        <f t="shared" si="186"/>
        <v>72</v>
      </c>
      <c r="BW26" s="81">
        <f t="shared" si="186"/>
        <v>73</v>
      </c>
      <c r="BX26" s="81">
        <f t="shared" si="186"/>
        <v>74</v>
      </c>
      <c r="BY26" s="81">
        <f t="shared" si="186"/>
        <v>75</v>
      </c>
      <c r="BZ26" s="81">
        <f t="shared" si="186"/>
        <v>76</v>
      </c>
      <c r="CA26" s="81">
        <f t="shared" si="186"/>
        <v>77</v>
      </c>
      <c r="CB26" s="81">
        <f t="shared" si="186"/>
        <v>78</v>
      </c>
      <c r="CC26" s="81">
        <f t="shared" si="186"/>
        <v>79</v>
      </c>
      <c r="CD26" s="81">
        <f t="shared" si="186"/>
        <v>80</v>
      </c>
      <c r="CE26" s="81">
        <f t="shared" si="186"/>
        <v>81</v>
      </c>
      <c r="CF26" s="81">
        <f t="shared" si="186"/>
        <v>82</v>
      </c>
      <c r="CG26" s="81">
        <f t="shared" si="186"/>
        <v>83</v>
      </c>
      <c r="CH26" s="81">
        <f t="shared" si="186"/>
        <v>84</v>
      </c>
      <c r="CI26" s="81">
        <f t="shared" si="186"/>
        <v>85</v>
      </c>
      <c r="CJ26" s="81">
        <f t="shared" si="186"/>
        <v>86</v>
      </c>
      <c r="CK26" s="81">
        <f t="shared" si="186"/>
        <v>87</v>
      </c>
      <c r="CL26" s="81">
        <f t="shared" si="186"/>
        <v>88</v>
      </c>
      <c r="CM26" s="81">
        <f t="shared" si="186"/>
        <v>89</v>
      </c>
      <c r="CN26" s="81">
        <f t="shared" si="186"/>
        <v>90</v>
      </c>
      <c r="CO26" s="81">
        <f t="shared" si="186"/>
        <v>91</v>
      </c>
      <c r="CP26" s="81">
        <f t="shared" si="186"/>
        <v>92</v>
      </c>
      <c r="CQ26" s="81">
        <f t="shared" si="186"/>
        <v>93</v>
      </c>
      <c r="CR26" s="81">
        <f t="shared" si="186"/>
        <v>94</v>
      </c>
      <c r="CS26" s="81">
        <f t="shared" si="186"/>
        <v>95</v>
      </c>
      <c r="CT26" s="81">
        <f t="shared" si="186"/>
        <v>96</v>
      </c>
      <c r="CU26" s="81">
        <f t="shared" si="186"/>
        <v>97</v>
      </c>
      <c r="CV26" s="81">
        <f t="shared" si="186"/>
        <v>98</v>
      </c>
      <c r="CW26" s="81">
        <f t="shared" si="186"/>
        <v>99</v>
      </c>
      <c r="CX26" s="81">
        <f t="shared" si="186"/>
        <v>100</v>
      </c>
      <c r="CY26" s="81">
        <f t="shared" si="186"/>
        <v>101</v>
      </c>
      <c r="CZ26" s="81">
        <f t="shared" si="186"/>
        <v>102</v>
      </c>
      <c r="DA26" s="81">
        <f t="shared" si="186"/>
        <v>103</v>
      </c>
      <c r="DB26" s="81">
        <f t="shared" si="186"/>
        <v>104</v>
      </c>
      <c r="DC26" s="81">
        <f t="shared" si="186"/>
        <v>105</v>
      </c>
      <c r="DD26" s="81">
        <f t="shared" si="186"/>
        <v>106</v>
      </c>
      <c r="DE26" s="81">
        <f t="shared" si="186"/>
        <v>107</v>
      </c>
      <c r="DF26" s="81">
        <f t="shared" si="186"/>
        <v>108</v>
      </c>
      <c r="DG26" s="81">
        <f t="shared" si="186"/>
        <v>109</v>
      </c>
      <c r="DH26" s="81">
        <f t="shared" si="186"/>
        <v>110</v>
      </c>
      <c r="DI26" s="81">
        <f t="shared" si="186"/>
        <v>111</v>
      </c>
      <c r="DJ26" s="81">
        <f t="shared" si="186"/>
        <v>112</v>
      </c>
      <c r="DK26" s="81">
        <f t="shared" si="186"/>
        <v>113</v>
      </c>
      <c r="DL26" s="81">
        <f t="shared" si="186"/>
        <v>114</v>
      </c>
      <c r="DM26" s="81">
        <f t="shared" si="186"/>
        <v>115</v>
      </c>
      <c r="DN26" s="81">
        <f t="shared" si="186"/>
        <v>116</v>
      </c>
      <c r="DO26" s="81">
        <f t="shared" si="186"/>
        <v>117</v>
      </c>
      <c r="DP26" s="81">
        <f t="shared" si="186"/>
        <v>118</v>
      </c>
      <c r="DQ26" s="81">
        <f t="shared" si="186"/>
        <v>119</v>
      </c>
      <c r="DR26" s="81">
        <f t="shared" si="186"/>
        <v>120</v>
      </c>
      <c r="DS26" s="81">
        <f t="shared" si="186"/>
        <v>121</v>
      </c>
      <c r="DT26" s="81">
        <f t="shared" si="186"/>
        <v>122</v>
      </c>
      <c r="DU26" s="81">
        <f t="shared" si="186"/>
        <v>123</v>
      </c>
      <c r="DV26" s="81">
        <f t="shared" si="186"/>
        <v>124</v>
      </c>
      <c r="DW26" s="81">
        <f t="shared" si="186"/>
        <v>125</v>
      </c>
      <c r="DX26" s="81">
        <f t="shared" si="186"/>
        <v>126</v>
      </c>
      <c r="DY26" s="81">
        <f t="shared" si="186"/>
        <v>127</v>
      </c>
      <c r="DZ26" s="81">
        <f t="shared" si="186"/>
        <v>128</v>
      </c>
      <c r="EA26" s="81">
        <f t="shared" si="186"/>
        <v>129</v>
      </c>
      <c r="EB26" s="81">
        <f t="shared" si="186"/>
        <v>130</v>
      </c>
      <c r="EC26" s="81">
        <f t="shared" ref="EC26:FZ26" si="187">EB26+1</f>
        <v>131</v>
      </c>
      <c r="ED26" s="81">
        <f t="shared" si="187"/>
        <v>132</v>
      </c>
      <c r="EE26" s="81">
        <f t="shared" si="187"/>
        <v>133</v>
      </c>
      <c r="EF26" s="81">
        <f t="shared" si="187"/>
        <v>134</v>
      </c>
      <c r="EG26" s="81">
        <f t="shared" si="187"/>
        <v>135</v>
      </c>
      <c r="EH26" s="81">
        <f t="shared" si="187"/>
        <v>136</v>
      </c>
      <c r="EI26" s="81">
        <f t="shared" si="187"/>
        <v>137</v>
      </c>
      <c r="EJ26" s="81">
        <f t="shared" si="187"/>
        <v>138</v>
      </c>
      <c r="EK26" s="81">
        <f t="shared" si="187"/>
        <v>139</v>
      </c>
      <c r="EL26" s="81">
        <f t="shared" si="187"/>
        <v>140</v>
      </c>
      <c r="EM26" s="81">
        <f t="shared" si="187"/>
        <v>141</v>
      </c>
      <c r="EN26" s="81">
        <f t="shared" si="187"/>
        <v>142</v>
      </c>
      <c r="EO26" s="81">
        <f t="shared" si="187"/>
        <v>143</v>
      </c>
      <c r="EP26" s="81">
        <f t="shared" si="187"/>
        <v>144</v>
      </c>
      <c r="EQ26" s="81">
        <f t="shared" si="187"/>
        <v>145</v>
      </c>
      <c r="ER26" s="81">
        <f t="shared" si="187"/>
        <v>146</v>
      </c>
      <c r="ES26" s="81">
        <f t="shared" si="187"/>
        <v>147</v>
      </c>
      <c r="ET26" s="81">
        <f t="shared" si="187"/>
        <v>148</v>
      </c>
      <c r="EU26" s="81">
        <f t="shared" si="187"/>
        <v>149</v>
      </c>
      <c r="EV26" s="81">
        <f t="shared" si="187"/>
        <v>150</v>
      </c>
      <c r="EW26" s="81">
        <f t="shared" si="187"/>
        <v>151</v>
      </c>
      <c r="EX26" s="81">
        <f t="shared" si="187"/>
        <v>152</v>
      </c>
      <c r="EY26" s="81">
        <f t="shared" si="187"/>
        <v>153</v>
      </c>
      <c r="EZ26" s="81">
        <f t="shared" si="187"/>
        <v>154</v>
      </c>
      <c r="FA26" s="81">
        <f t="shared" si="187"/>
        <v>155</v>
      </c>
      <c r="FB26" s="81">
        <f t="shared" si="187"/>
        <v>156</v>
      </c>
      <c r="FC26" s="81">
        <f t="shared" si="187"/>
        <v>157</v>
      </c>
      <c r="FD26" s="81">
        <f t="shared" si="187"/>
        <v>158</v>
      </c>
      <c r="FE26" s="81">
        <f t="shared" si="187"/>
        <v>159</v>
      </c>
      <c r="FF26" s="81">
        <f t="shared" si="187"/>
        <v>160</v>
      </c>
      <c r="FG26" s="81">
        <f t="shared" si="187"/>
        <v>161</v>
      </c>
      <c r="FH26" s="81">
        <f t="shared" si="187"/>
        <v>162</v>
      </c>
      <c r="FI26" s="81">
        <f t="shared" si="187"/>
        <v>163</v>
      </c>
      <c r="FJ26" s="81">
        <f t="shared" si="187"/>
        <v>164</v>
      </c>
      <c r="FK26" s="81">
        <f t="shared" si="187"/>
        <v>165</v>
      </c>
      <c r="FL26" s="81">
        <f t="shared" si="187"/>
        <v>166</v>
      </c>
      <c r="FM26" s="81">
        <f t="shared" si="187"/>
        <v>167</v>
      </c>
      <c r="FN26" s="81">
        <f t="shared" si="187"/>
        <v>168</v>
      </c>
      <c r="FO26" s="81">
        <f t="shared" si="187"/>
        <v>169</v>
      </c>
      <c r="FP26" s="81">
        <f t="shared" si="187"/>
        <v>170</v>
      </c>
      <c r="FQ26" s="81">
        <f t="shared" si="187"/>
        <v>171</v>
      </c>
      <c r="FR26" s="81">
        <f t="shared" si="187"/>
        <v>172</v>
      </c>
      <c r="FS26" s="81">
        <f t="shared" si="187"/>
        <v>173</v>
      </c>
      <c r="FT26" s="81">
        <f t="shared" si="187"/>
        <v>174</v>
      </c>
      <c r="FU26" s="81">
        <f t="shared" si="187"/>
        <v>175</v>
      </c>
      <c r="FV26" s="81">
        <f t="shared" si="187"/>
        <v>176</v>
      </c>
      <c r="FW26" s="81">
        <f t="shared" si="187"/>
        <v>177</v>
      </c>
      <c r="FX26" s="81">
        <f t="shared" si="187"/>
        <v>178</v>
      </c>
      <c r="FY26" s="81">
        <f t="shared" si="187"/>
        <v>179</v>
      </c>
      <c r="FZ26" s="82">
        <f t="shared" si="187"/>
        <v>180</v>
      </c>
    </row>
    <row r="27" spans="2:182" x14ac:dyDescent="0.2">
      <c r="B27" s="80" t="s">
        <v>131</v>
      </c>
      <c r="C27" s="83">
        <f>EOMONTH(Analysis_Start,0)</f>
        <v>43861</v>
      </c>
      <c r="D27" s="83">
        <f>EOMONTH(C15,1)</f>
        <v>43890</v>
      </c>
      <c r="E27" s="83">
        <f t="shared" ref="E27:BP27" si="188">EOMONTH(D15,1)</f>
        <v>43921</v>
      </c>
      <c r="F27" s="83">
        <f t="shared" si="188"/>
        <v>43951</v>
      </c>
      <c r="G27" s="83">
        <f t="shared" si="188"/>
        <v>43982</v>
      </c>
      <c r="H27" s="83">
        <f t="shared" si="188"/>
        <v>44012</v>
      </c>
      <c r="I27" s="83">
        <f t="shared" si="188"/>
        <v>44043</v>
      </c>
      <c r="J27" s="83">
        <f t="shared" si="188"/>
        <v>44074</v>
      </c>
      <c r="K27" s="83">
        <f t="shared" si="188"/>
        <v>44104</v>
      </c>
      <c r="L27" s="83">
        <f t="shared" si="188"/>
        <v>44135</v>
      </c>
      <c r="M27" s="83">
        <f t="shared" si="188"/>
        <v>44165</v>
      </c>
      <c r="N27" s="83">
        <f t="shared" si="188"/>
        <v>44196</v>
      </c>
      <c r="O27" s="83">
        <f t="shared" si="188"/>
        <v>44227</v>
      </c>
      <c r="P27" s="83">
        <f t="shared" si="188"/>
        <v>44255</v>
      </c>
      <c r="Q27" s="83">
        <f t="shared" si="188"/>
        <v>44286</v>
      </c>
      <c r="R27" s="83">
        <f t="shared" si="188"/>
        <v>44316</v>
      </c>
      <c r="S27" s="83">
        <f t="shared" si="188"/>
        <v>44347</v>
      </c>
      <c r="T27" s="83">
        <f t="shared" si="188"/>
        <v>44377</v>
      </c>
      <c r="U27" s="83">
        <f t="shared" si="188"/>
        <v>44408</v>
      </c>
      <c r="V27" s="83">
        <f t="shared" si="188"/>
        <v>44439</v>
      </c>
      <c r="W27" s="83">
        <f t="shared" si="188"/>
        <v>44469</v>
      </c>
      <c r="X27" s="83">
        <f t="shared" si="188"/>
        <v>44500</v>
      </c>
      <c r="Y27" s="83">
        <f t="shared" si="188"/>
        <v>44530</v>
      </c>
      <c r="Z27" s="83">
        <f t="shared" si="188"/>
        <v>44561</v>
      </c>
      <c r="AA27" s="83">
        <f t="shared" si="188"/>
        <v>44592</v>
      </c>
      <c r="AB27" s="83">
        <f t="shared" si="188"/>
        <v>44620</v>
      </c>
      <c r="AC27" s="83">
        <f t="shared" si="188"/>
        <v>44651</v>
      </c>
      <c r="AD27" s="83">
        <f t="shared" si="188"/>
        <v>44681</v>
      </c>
      <c r="AE27" s="83">
        <f t="shared" si="188"/>
        <v>44712</v>
      </c>
      <c r="AF27" s="83">
        <f t="shared" si="188"/>
        <v>44742</v>
      </c>
      <c r="AG27" s="83">
        <f t="shared" si="188"/>
        <v>44773</v>
      </c>
      <c r="AH27" s="83">
        <f t="shared" si="188"/>
        <v>44804</v>
      </c>
      <c r="AI27" s="83">
        <f t="shared" si="188"/>
        <v>44834</v>
      </c>
      <c r="AJ27" s="83">
        <f t="shared" si="188"/>
        <v>44865</v>
      </c>
      <c r="AK27" s="83">
        <f t="shared" si="188"/>
        <v>44895</v>
      </c>
      <c r="AL27" s="83">
        <f t="shared" si="188"/>
        <v>44926</v>
      </c>
      <c r="AM27" s="83">
        <f t="shared" si="188"/>
        <v>44957</v>
      </c>
      <c r="AN27" s="83">
        <f t="shared" si="188"/>
        <v>44985</v>
      </c>
      <c r="AO27" s="83">
        <f t="shared" si="188"/>
        <v>45016</v>
      </c>
      <c r="AP27" s="83">
        <f t="shared" si="188"/>
        <v>45046</v>
      </c>
      <c r="AQ27" s="83">
        <f t="shared" si="188"/>
        <v>45077</v>
      </c>
      <c r="AR27" s="83">
        <f t="shared" si="188"/>
        <v>45107</v>
      </c>
      <c r="AS27" s="83">
        <f t="shared" si="188"/>
        <v>45138</v>
      </c>
      <c r="AT27" s="83">
        <f t="shared" si="188"/>
        <v>45169</v>
      </c>
      <c r="AU27" s="83">
        <f t="shared" si="188"/>
        <v>45199</v>
      </c>
      <c r="AV27" s="83">
        <f t="shared" si="188"/>
        <v>45230</v>
      </c>
      <c r="AW27" s="83">
        <f t="shared" si="188"/>
        <v>45260</v>
      </c>
      <c r="AX27" s="83">
        <f t="shared" si="188"/>
        <v>45291</v>
      </c>
      <c r="AY27" s="83">
        <f t="shared" si="188"/>
        <v>45322</v>
      </c>
      <c r="AZ27" s="83">
        <f t="shared" si="188"/>
        <v>45351</v>
      </c>
      <c r="BA27" s="83">
        <f t="shared" si="188"/>
        <v>45382</v>
      </c>
      <c r="BB27" s="83">
        <f t="shared" si="188"/>
        <v>45412</v>
      </c>
      <c r="BC27" s="83">
        <f t="shared" si="188"/>
        <v>45443</v>
      </c>
      <c r="BD27" s="83">
        <f t="shared" si="188"/>
        <v>45473</v>
      </c>
      <c r="BE27" s="83">
        <f t="shared" si="188"/>
        <v>45504</v>
      </c>
      <c r="BF27" s="83">
        <f t="shared" si="188"/>
        <v>45535</v>
      </c>
      <c r="BG27" s="83">
        <f t="shared" si="188"/>
        <v>45565</v>
      </c>
      <c r="BH27" s="83">
        <f t="shared" si="188"/>
        <v>45596</v>
      </c>
      <c r="BI27" s="83">
        <f t="shared" si="188"/>
        <v>45626</v>
      </c>
      <c r="BJ27" s="83">
        <f t="shared" si="188"/>
        <v>45657</v>
      </c>
      <c r="BK27" s="83">
        <f t="shared" si="188"/>
        <v>45688</v>
      </c>
      <c r="BL27" s="83">
        <f t="shared" si="188"/>
        <v>45716</v>
      </c>
      <c r="BM27" s="83">
        <f t="shared" si="188"/>
        <v>45747</v>
      </c>
      <c r="BN27" s="83">
        <f t="shared" si="188"/>
        <v>45777</v>
      </c>
      <c r="BO27" s="83">
        <f t="shared" si="188"/>
        <v>45808</v>
      </c>
      <c r="BP27" s="83">
        <f t="shared" si="188"/>
        <v>45838</v>
      </c>
      <c r="BQ27" s="83">
        <f t="shared" ref="BQ27:EB27" si="189">EOMONTH(BP15,1)</f>
        <v>45869</v>
      </c>
      <c r="BR27" s="83">
        <f t="shared" si="189"/>
        <v>45900</v>
      </c>
      <c r="BS27" s="83">
        <f t="shared" si="189"/>
        <v>45930</v>
      </c>
      <c r="BT27" s="83">
        <f t="shared" si="189"/>
        <v>45961</v>
      </c>
      <c r="BU27" s="83">
        <f t="shared" si="189"/>
        <v>45991</v>
      </c>
      <c r="BV27" s="83">
        <f t="shared" si="189"/>
        <v>46022</v>
      </c>
      <c r="BW27" s="83">
        <f t="shared" si="189"/>
        <v>46053</v>
      </c>
      <c r="BX27" s="83">
        <f t="shared" si="189"/>
        <v>46081</v>
      </c>
      <c r="BY27" s="83">
        <f t="shared" si="189"/>
        <v>46112</v>
      </c>
      <c r="BZ27" s="83">
        <f t="shared" si="189"/>
        <v>46142</v>
      </c>
      <c r="CA27" s="83">
        <f t="shared" si="189"/>
        <v>46173</v>
      </c>
      <c r="CB27" s="83">
        <f t="shared" si="189"/>
        <v>46203</v>
      </c>
      <c r="CC27" s="83">
        <f t="shared" si="189"/>
        <v>46234</v>
      </c>
      <c r="CD27" s="83">
        <f t="shared" si="189"/>
        <v>46265</v>
      </c>
      <c r="CE27" s="83">
        <f t="shared" si="189"/>
        <v>46295</v>
      </c>
      <c r="CF27" s="83">
        <f t="shared" si="189"/>
        <v>46326</v>
      </c>
      <c r="CG27" s="83">
        <f t="shared" si="189"/>
        <v>46356</v>
      </c>
      <c r="CH27" s="83">
        <f t="shared" si="189"/>
        <v>46387</v>
      </c>
      <c r="CI27" s="83">
        <f t="shared" si="189"/>
        <v>46418</v>
      </c>
      <c r="CJ27" s="83">
        <f t="shared" si="189"/>
        <v>46446</v>
      </c>
      <c r="CK27" s="83">
        <f t="shared" si="189"/>
        <v>46477</v>
      </c>
      <c r="CL27" s="83">
        <f t="shared" si="189"/>
        <v>46507</v>
      </c>
      <c r="CM27" s="83">
        <f t="shared" si="189"/>
        <v>46538</v>
      </c>
      <c r="CN27" s="83">
        <f t="shared" si="189"/>
        <v>46568</v>
      </c>
      <c r="CO27" s="83">
        <f t="shared" si="189"/>
        <v>46599</v>
      </c>
      <c r="CP27" s="83">
        <f t="shared" si="189"/>
        <v>46630</v>
      </c>
      <c r="CQ27" s="83">
        <f t="shared" si="189"/>
        <v>46660</v>
      </c>
      <c r="CR27" s="83">
        <f t="shared" si="189"/>
        <v>46691</v>
      </c>
      <c r="CS27" s="83">
        <f t="shared" si="189"/>
        <v>46721</v>
      </c>
      <c r="CT27" s="83">
        <f t="shared" si="189"/>
        <v>46752</v>
      </c>
      <c r="CU27" s="83">
        <f t="shared" si="189"/>
        <v>46783</v>
      </c>
      <c r="CV27" s="83">
        <f t="shared" si="189"/>
        <v>46812</v>
      </c>
      <c r="CW27" s="83">
        <f t="shared" si="189"/>
        <v>46843</v>
      </c>
      <c r="CX27" s="83">
        <f t="shared" si="189"/>
        <v>46873</v>
      </c>
      <c r="CY27" s="83">
        <f t="shared" si="189"/>
        <v>46904</v>
      </c>
      <c r="CZ27" s="83">
        <f t="shared" si="189"/>
        <v>46934</v>
      </c>
      <c r="DA27" s="83">
        <f t="shared" si="189"/>
        <v>46965</v>
      </c>
      <c r="DB27" s="83">
        <f t="shared" si="189"/>
        <v>46996</v>
      </c>
      <c r="DC27" s="83">
        <f t="shared" si="189"/>
        <v>47026</v>
      </c>
      <c r="DD27" s="83">
        <f t="shared" si="189"/>
        <v>47057</v>
      </c>
      <c r="DE27" s="83">
        <f t="shared" si="189"/>
        <v>47087</v>
      </c>
      <c r="DF27" s="83">
        <f t="shared" si="189"/>
        <v>47118</v>
      </c>
      <c r="DG27" s="83">
        <f t="shared" si="189"/>
        <v>47149</v>
      </c>
      <c r="DH27" s="83">
        <f t="shared" si="189"/>
        <v>47177</v>
      </c>
      <c r="DI27" s="83">
        <f t="shared" si="189"/>
        <v>47208</v>
      </c>
      <c r="DJ27" s="83">
        <f t="shared" si="189"/>
        <v>47238</v>
      </c>
      <c r="DK27" s="83">
        <f t="shared" si="189"/>
        <v>47269</v>
      </c>
      <c r="DL27" s="83">
        <f t="shared" si="189"/>
        <v>47299</v>
      </c>
      <c r="DM27" s="83">
        <f t="shared" si="189"/>
        <v>47330</v>
      </c>
      <c r="DN27" s="83">
        <f t="shared" si="189"/>
        <v>47361</v>
      </c>
      <c r="DO27" s="83">
        <f t="shared" si="189"/>
        <v>47391</v>
      </c>
      <c r="DP27" s="83">
        <f t="shared" si="189"/>
        <v>47422</v>
      </c>
      <c r="DQ27" s="83">
        <f t="shared" si="189"/>
        <v>47452</v>
      </c>
      <c r="DR27" s="83">
        <f t="shared" si="189"/>
        <v>47483</v>
      </c>
      <c r="DS27" s="83">
        <f t="shared" si="189"/>
        <v>47514</v>
      </c>
      <c r="DT27" s="83">
        <f t="shared" si="189"/>
        <v>47542</v>
      </c>
      <c r="DU27" s="83">
        <f t="shared" si="189"/>
        <v>47573</v>
      </c>
      <c r="DV27" s="83">
        <f t="shared" si="189"/>
        <v>47603</v>
      </c>
      <c r="DW27" s="83">
        <f t="shared" si="189"/>
        <v>47634</v>
      </c>
      <c r="DX27" s="83">
        <f t="shared" si="189"/>
        <v>47664</v>
      </c>
      <c r="DY27" s="83">
        <f t="shared" si="189"/>
        <v>47695</v>
      </c>
      <c r="DZ27" s="83">
        <f t="shared" si="189"/>
        <v>47726</v>
      </c>
      <c r="EA27" s="83">
        <f t="shared" si="189"/>
        <v>47756</v>
      </c>
      <c r="EB27" s="83">
        <f t="shared" si="189"/>
        <v>47787</v>
      </c>
      <c r="EC27" s="83">
        <f t="shared" ref="EC27:FZ27" si="190">EOMONTH(EB15,1)</f>
        <v>47817</v>
      </c>
      <c r="ED27" s="83">
        <f t="shared" si="190"/>
        <v>47848</v>
      </c>
      <c r="EE27" s="83">
        <f t="shared" si="190"/>
        <v>47879</v>
      </c>
      <c r="EF27" s="83">
        <f t="shared" si="190"/>
        <v>47907</v>
      </c>
      <c r="EG27" s="83">
        <f t="shared" si="190"/>
        <v>47938</v>
      </c>
      <c r="EH27" s="83">
        <f t="shared" si="190"/>
        <v>47968</v>
      </c>
      <c r="EI27" s="83">
        <f t="shared" si="190"/>
        <v>47999</v>
      </c>
      <c r="EJ27" s="83">
        <f t="shared" si="190"/>
        <v>48029</v>
      </c>
      <c r="EK27" s="83">
        <f t="shared" si="190"/>
        <v>48060</v>
      </c>
      <c r="EL27" s="83">
        <f t="shared" si="190"/>
        <v>48091</v>
      </c>
      <c r="EM27" s="83">
        <f t="shared" si="190"/>
        <v>48121</v>
      </c>
      <c r="EN27" s="83">
        <f t="shared" si="190"/>
        <v>48152</v>
      </c>
      <c r="EO27" s="83">
        <f t="shared" si="190"/>
        <v>48182</v>
      </c>
      <c r="EP27" s="83">
        <f t="shared" si="190"/>
        <v>48213</v>
      </c>
      <c r="EQ27" s="83">
        <f t="shared" si="190"/>
        <v>48244</v>
      </c>
      <c r="ER27" s="83">
        <f t="shared" si="190"/>
        <v>48273</v>
      </c>
      <c r="ES27" s="83">
        <f t="shared" si="190"/>
        <v>48304</v>
      </c>
      <c r="ET27" s="83">
        <f t="shared" si="190"/>
        <v>48334</v>
      </c>
      <c r="EU27" s="83">
        <f t="shared" si="190"/>
        <v>48365</v>
      </c>
      <c r="EV27" s="83">
        <f t="shared" si="190"/>
        <v>48395</v>
      </c>
      <c r="EW27" s="83">
        <f t="shared" si="190"/>
        <v>48426</v>
      </c>
      <c r="EX27" s="83">
        <f t="shared" si="190"/>
        <v>48457</v>
      </c>
      <c r="EY27" s="83">
        <f t="shared" si="190"/>
        <v>48487</v>
      </c>
      <c r="EZ27" s="83">
        <f t="shared" si="190"/>
        <v>48518</v>
      </c>
      <c r="FA27" s="83">
        <f t="shared" si="190"/>
        <v>48548</v>
      </c>
      <c r="FB27" s="83">
        <f t="shared" si="190"/>
        <v>48579</v>
      </c>
      <c r="FC27" s="83">
        <f t="shared" si="190"/>
        <v>48610</v>
      </c>
      <c r="FD27" s="83">
        <f t="shared" si="190"/>
        <v>48638</v>
      </c>
      <c r="FE27" s="83">
        <f t="shared" si="190"/>
        <v>48669</v>
      </c>
      <c r="FF27" s="83">
        <f t="shared" si="190"/>
        <v>48699</v>
      </c>
      <c r="FG27" s="83">
        <f t="shared" si="190"/>
        <v>48730</v>
      </c>
      <c r="FH27" s="83">
        <f t="shared" si="190"/>
        <v>48760</v>
      </c>
      <c r="FI27" s="83">
        <f t="shared" si="190"/>
        <v>48791</v>
      </c>
      <c r="FJ27" s="83">
        <f t="shared" si="190"/>
        <v>48822</v>
      </c>
      <c r="FK27" s="83">
        <f t="shared" si="190"/>
        <v>48852</v>
      </c>
      <c r="FL27" s="83">
        <f t="shared" si="190"/>
        <v>48883</v>
      </c>
      <c r="FM27" s="83">
        <f t="shared" si="190"/>
        <v>48913</v>
      </c>
      <c r="FN27" s="83">
        <f t="shared" si="190"/>
        <v>48944</v>
      </c>
      <c r="FO27" s="83">
        <f t="shared" si="190"/>
        <v>48975</v>
      </c>
      <c r="FP27" s="83">
        <f t="shared" si="190"/>
        <v>49003</v>
      </c>
      <c r="FQ27" s="83">
        <f t="shared" si="190"/>
        <v>49034</v>
      </c>
      <c r="FR27" s="83">
        <f t="shared" si="190"/>
        <v>49064</v>
      </c>
      <c r="FS27" s="83">
        <f t="shared" si="190"/>
        <v>49095</v>
      </c>
      <c r="FT27" s="83">
        <f t="shared" si="190"/>
        <v>49125</v>
      </c>
      <c r="FU27" s="83">
        <f t="shared" si="190"/>
        <v>49156</v>
      </c>
      <c r="FV27" s="83">
        <f t="shared" si="190"/>
        <v>49187</v>
      </c>
      <c r="FW27" s="83">
        <f t="shared" si="190"/>
        <v>49217</v>
      </c>
      <c r="FX27" s="83">
        <f t="shared" si="190"/>
        <v>49248</v>
      </c>
      <c r="FY27" s="83">
        <f t="shared" si="190"/>
        <v>49278</v>
      </c>
      <c r="FZ27" s="84">
        <f t="shared" si="190"/>
        <v>49309</v>
      </c>
    </row>
    <row r="28" spans="2:182" x14ac:dyDescent="0.2">
      <c r="B28" s="85"/>
      <c r="C28" s="73">
        <f>IF(OR($B5="",$B5=0),"",($K5*$C5*(1+'Property Summary'!$I$21)^(C$13-1)))</f>
        <v>1540</v>
      </c>
      <c r="D28" s="73">
        <f>IF(OR($B5="",$B5=0),"",($K5*$C5*(1+'Property Summary'!$I$21)^(D$13-1)))</f>
        <v>1540</v>
      </c>
      <c r="E28" s="73">
        <f>IF(OR($B5="",$B5=0),"",($K5*$C5*(1+'Property Summary'!$I$21)^(E$13-1)))</f>
        <v>1540</v>
      </c>
      <c r="F28" s="73">
        <f>IF(OR($B5="",$B5=0),"",($K5*$C5*(1+'Property Summary'!$I$21)^(F$13-1)))</f>
        <v>1540</v>
      </c>
      <c r="G28" s="73">
        <f>IF(OR($B5="",$B5=0),"",($K5*$C5*(1+'Property Summary'!$I$21)^(G$13-1)))</f>
        <v>1540</v>
      </c>
      <c r="H28" s="73">
        <f>IF(OR($B5="",$B5=0),"",($K5*$C5*(1+'Property Summary'!$I$21)^(H$13-1)))</f>
        <v>1540</v>
      </c>
      <c r="I28" s="73">
        <f>IF(OR($B5="",$B5=0),"",($K5*$C5*(1+'Property Summary'!$I$21)^(I$13-1)))</f>
        <v>1540</v>
      </c>
      <c r="J28" s="73">
        <f>IF(OR($B5="",$B5=0),"",($K5*$C5*(1+'Property Summary'!$I$21)^(J$13-1)))</f>
        <v>1540</v>
      </c>
      <c r="K28" s="73">
        <f>IF(OR($B5="",$B5=0),"",($K5*$C5*(1+'Property Summary'!$I$21)^(K$13-1)))</f>
        <v>1540</v>
      </c>
      <c r="L28" s="73">
        <f>IF(OR($B5="",$B5=0),"",($K5*$C5*(1+'Property Summary'!$I$21)^(L$13-1)))</f>
        <v>1540</v>
      </c>
      <c r="M28" s="73">
        <f>IF(OR($B5="",$B5=0),"",($K5*$C5*(1+'Property Summary'!$I$21)^(M$13-1)))</f>
        <v>1540</v>
      </c>
      <c r="N28" s="73">
        <f>IF(OR($B5="",$B5=0),"",($K5*$C5*(1+'Property Summary'!$I$21)^(N$13-1)))</f>
        <v>1540</v>
      </c>
      <c r="O28" s="73">
        <f>IF(OR($B5="",$B5=0),"",($K5*$C5*(1+'Property Summary'!$I$21)^(O$13-1)))</f>
        <v>1578.4999999999998</v>
      </c>
      <c r="P28" s="73">
        <f>IF(OR($B5="",$B5=0),"",($K5*$C5*(1+'Property Summary'!$I$21)^(P$13-1)))</f>
        <v>1578.4999999999998</v>
      </c>
      <c r="Q28" s="73">
        <f>IF(OR($B5="",$B5=0),"",($K5*$C5*(1+'Property Summary'!$I$21)^(Q$13-1)))</f>
        <v>1578.4999999999998</v>
      </c>
      <c r="R28" s="73">
        <f>IF(OR($B5="",$B5=0),"",($K5*$C5*(1+'Property Summary'!$I$21)^(R$13-1)))</f>
        <v>1578.4999999999998</v>
      </c>
      <c r="S28" s="73">
        <f>IF(OR($B5="",$B5=0),"",($K5*$C5*(1+'Property Summary'!$I$21)^(S$13-1)))</f>
        <v>1578.4999999999998</v>
      </c>
      <c r="T28" s="73">
        <f>IF(OR($B5="",$B5=0),"",($K5*$C5*(1+'Property Summary'!$I$21)^(T$13-1)))</f>
        <v>1578.4999999999998</v>
      </c>
      <c r="U28" s="73">
        <f>IF(OR($B5="",$B5=0),"",($K5*$C5*(1+'Property Summary'!$I$21)^(U$13-1)))</f>
        <v>1578.4999999999998</v>
      </c>
      <c r="V28" s="73">
        <f>IF(OR($B5="",$B5=0),"",($K5*$C5*(1+'Property Summary'!$I$21)^(V$13-1)))</f>
        <v>1578.4999999999998</v>
      </c>
      <c r="W28" s="73">
        <f>IF(OR($B5="",$B5=0),"",($K5*$C5*(1+'Property Summary'!$I$21)^(W$13-1)))</f>
        <v>1578.4999999999998</v>
      </c>
      <c r="X28" s="73">
        <f>IF(OR($B5="",$B5=0),"",($K5*$C5*(1+'Property Summary'!$I$21)^(X$13-1)))</f>
        <v>1578.4999999999998</v>
      </c>
      <c r="Y28" s="73">
        <f>IF(OR($B5="",$B5=0),"",($K5*$C5*(1+'Property Summary'!$I$21)^(Y$13-1)))</f>
        <v>1578.4999999999998</v>
      </c>
      <c r="Z28" s="73">
        <f>IF(OR($B5="",$B5=0),"",($K5*$C5*(1+'Property Summary'!$I$21)^(Z$13-1)))</f>
        <v>1578.4999999999998</v>
      </c>
      <c r="AA28" s="73">
        <f>IF(OR($B5="",$B5=0),"",($K5*$C5*(1+'Property Summary'!$I$21)^(AA$13-1)))</f>
        <v>1617.9624999999999</v>
      </c>
      <c r="AB28" s="73">
        <f>IF(OR($B5="",$B5=0),"",($K5*$C5*(1+'Property Summary'!$I$21)^(AB$13-1)))</f>
        <v>1617.9624999999999</v>
      </c>
      <c r="AC28" s="73">
        <f>IF(OR($B5="",$B5=0),"",($K5*$C5*(1+'Property Summary'!$I$21)^(AC$13-1)))</f>
        <v>1617.9624999999999</v>
      </c>
      <c r="AD28" s="73">
        <f>IF(OR($B5="",$B5=0),"",($K5*$C5*(1+'Property Summary'!$I$21)^(AD$13-1)))</f>
        <v>1617.9624999999999</v>
      </c>
      <c r="AE28" s="73">
        <f>IF(OR($B5="",$B5=0),"",($K5*$C5*(1+'Property Summary'!$I$21)^(AE$13-1)))</f>
        <v>1617.9624999999999</v>
      </c>
      <c r="AF28" s="73">
        <f>IF(OR($B5="",$B5=0),"",($K5*$C5*(1+'Property Summary'!$I$21)^(AF$13-1)))</f>
        <v>1617.9624999999999</v>
      </c>
      <c r="AG28" s="73">
        <f>IF(OR($B5="",$B5=0),"",($K5*$C5*(1+'Property Summary'!$I$21)^(AG$13-1)))</f>
        <v>1617.9624999999999</v>
      </c>
      <c r="AH28" s="73">
        <f>IF(OR($B5="",$B5=0),"",($K5*$C5*(1+'Property Summary'!$I$21)^(AH$13-1)))</f>
        <v>1617.9624999999999</v>
      </c>
      <c r="AI28" s="73">
        <f>IF(OR($B5="",$B5=0),"",($K5*$C5*(1+'Property Summary'!$I$21)^(AI$13-1)))</f>
        <v>1617.9624999999999</v>
      </c>
      <c r="AJ28" s="73">
        <f>IF(OR($B5="",$B5=0),"",($K5*$C5*(1+'Property Summary'!$I$21)^(AJ$13-1)))</f>
        <v>1617.9624999999999</v>
      </c>
      <c r="AK28" s="73">
        <f>IF(OR($B5="",$B5=0),"",($K5*$C5*(1+'Property Summary'!$I$21)^(AK$13-1)))</f>
        <v>1617.9624999999999</v>
      </c>
      <c r="AL28" s="73">
        <f>IF(OR($B5="",$B5=0),"",($K5*$C5*(1+'Property Summary'!$I$21)^(AL$13-1)))</f>
        <v>1617.9624999999999</v>
      </c>
      <c r="AM28" s="73">
        <f>IF(OR($B5="",$B5=0),"",($K5*$C5*(1+'Property Summary'!$I$21)^(AM$13-1)))</f>
        <v>1658.4115624999997</v>
      </c>
      <c r="AN28" s="73">
        <f>IF(OR($B5="",$B5=0),"",($K5*$C5*(1+'Property Summary'!$I$21)^(AN$13-1)))</f>
        <v>1658.4115624999997</v>
      </c>
      <c r="AO28" s="73">
        <f>IF(OR($B5="",$B5=0),"",($K5*$C5*(1+'Property Summary'!$I$21)^(AO$13-1)))</f>
        <v>1658.4115624999997</v>
      </c>
      <c r="AP28" s="73">
        <f>IF(OR($B5="",$B5=0),"",($K5*$C5*(1+'Property Summary'!$I$21)^(AP$13-1)))</f>
        <v>1658.4115624999997</v>
      </c>
      <c r="AQ28" s="73">
        <f>IF(OR($B5="",$B5=0),"",($K5*$C5*(1+'Property Summary'!$I$21)^(AQ$13-1)))</f>
        <v>1658.4115624999997</v>
      </c>
      <c r="AR28" s="73">
        <f>IF(OR($B5="",$B5=0),"",($K5*$C5*(1+'Property Summary'!$I$21)^(AR$13-1)))</f>
        <v>1658.4115624999997</v>
      </c>
      <c r="AS28" s="73">
        <f>IF(OR($B5="",$B5=0),"",($K5*$C5*(1+'Property Summary'!$I$21)^(AS$13-1)))</f>
        <v>1658.4115624999997</v>
      </c>
      <c r="AT28" s="73">
        <f>IF(OR($B5="",$B5=0),"",($K5*$C5*(1+'Property Summary'!$I$21)^(AT$13-1)))</f>
        <v>1658.4115624999997</v>
      </c>
      <c r="AU28" s="73">
        <f>IF(OR($B5="",$B5=0),"",($K5*$C5*(1+'Property Summary'!$I$21)^(AU$13-1)))</f>
        <v>1658.4115624999997</v>
      </c>
      <c r="AV28" s="73">
        <f>IF(OR($B5="",$B5=0),"",($K5*$C5*(1+'Property Summary'!$I$21)^(AV$13-1)))</f>
        <v>1658.4115624999997</v>
      </c>
      <c r="AW28" s="73">
        <f>IF(OR($B5="",$B5=0),"",($K5*$C5*(1+'Property Summary'!$I$21)^(AW$13-1)))</f>
        <v>1658.4115624999997</v>
      </c>
      <c r="AX28" s="73">
        <f>IF(OR($B5="",$B5=0),"",($K5*$C5*(1+'Property Summary'!$I$21)^(AX$13-1)))</f>
        <v>1658.4115624999997</v>
      </c>
      <c r="AY28" s="73">
        <f>IF(OR($B5="",$B5=0),"",($K5*$C5*(1+'Property Summary'!$I$21)^(AY$13-1)))</f>
        <v>1699.8718515624996</v>
      </c>
      <c r="AZ28" s="73">
        <f>IF(OR($B5="",$B5=0),"",($K5*$C5*(1+'Property Summary'!$I$21)^(AZ$13-1)))</f>
        <v>1699.8718515624996</v>
      </c>
      <c r="BA28" s="73">
        <f>IF(OR($B5="",$B5=0),"",($K5*$C5*(1+'Property Summary'!$I$21)^(BA$13-1)))</f>
        <v>1699.8718515624996</v>
      </c>
      <c r="BB28" s="73">
        <f>IF(OR($B5="",$B5=0),"",($K5*$C5*(1+'Property Summary'!$I$21)^(BB$13-1)))</f>
        <v>1699.8718515624996</v>
      </c>
      <c r="BC28" s="73">
        <f>IF(OR($B5="",$B5=0),"",($K5*$C5*(1+'Property Summary'!$I$21)^(BC$13-1)))</f>
        <v>1699.8718515624996</v>
      </c>
      <c r="BD28" s="73">
        <f>IF(OR($B5="",$B5=0),"",($K5*$C5*(1+'Property Summary'!$I$21)^(BD$13-1)))</f>
        <v>1699.8718515624996</v>
      </c>
      <c r="BE28" s="73">
        <f>IF(OR($B5="",$B5=0),"",($K5*$C5*(1+'Property Summary'!$I$21)^(BE$13-1)))</f>
        <v>1699.8718515624996</v>
      </c>
      <c r="BF28" s="73">
        <f>IF(OR($B5="",$B5=0),"",($K5*$C5*(1+'Property Summary'!$I$21)^(BF$13-1)))</f>
        <v>1699.8718515624996</v>
      </c>
      <c r="BG28" s="73">
        <f>IF(OR($B5="",$B5=0),"",($K5*$C5*(1+'Property Summary'!$I$21)^(BG$13-1)))</f>
        <v>1699.8718515624996</v>
      </c>
      <c r="BH28" s="73">
        <f>IF(OR($B5="",$B5=0),"",($K5*$C5*(1+'Property Summary'!$I$21)^(BH$13-1)))</f>
        <v>1699.8718515624996</v>
      </c>
      <c r="BI28" s="73">
        <f>IF(OR($B5="",$B5=0),"",($K5*$C5*(1+'Property Summary'!$I$21)^(BI$13-1)))</f>
        <v>1699.8718515624996</v>
      </c>
      <c r="BJ28" s="73">
        <f>IF(OR($B5="",$B5=0),"",($K5*$C5*(1+'Property Summary'!$I$21)^(BJ$13-1)))</f>
        <v>1699.8718515624996</v>
      </c>
      <c r="BK28" s="73">
        <f>IF(OR($B5="",$B5=0),"",($K5*$C5*(1+'Property Summary'!$I$21)^(BK$13-1)))</f>
        <v>1742.3686478515619</v>
      </c>
      <c r="BL28" s="73">
        <f>IF(OR($B5="",$B5=0),"",($K5*$C5*(1+'Property Summary'!$I$21)^(BL$13-1)))</f>
        <v>1742.3686478515619</v>
      </c>
      <c r="BM28" s="73">
        <f>IF(OR($B5="",$B5=0),"",($K5*$C5*(1+'Property Summary'!$I$21)^(BM$13-1)))</f>
        <v>1742.3686478515619</v>
      </c>
      <c r="BN28" s="73">
        <f>IF(OR($B5="",$B5=0),"",($K5*$C5*(1+'Property Summary'!$I$21)^(BN$13-1)))</f>
        <v>1742.3686478515619</v>
      </c>
      <c r="BO28" s="73">
        <f>IF(OR($B5="",$B5=0),"",($K5*$C5*(1+'Property Summary'!$I$21)^(BO$13-1)))</f>
        <v>1742.3686478515619</v>
      </c>
      <c r="BP28" s="73">
        <f>IF(OR($B5="",$B5=0),"",($K5*$C5*(1+'Property Summary'!$I$21)^(BP$13-1)))</f>
        <v>1742.3686478515619</v>
      </c>
      <c r="BQ28" s="73">
        <f>IF(OR($B5="",$B5=0),"",($K5*$C5*(1+'Property Summary'!$I$21)^(BQ$13-1)))</f>
        <v>1742.3686478515619</v>
      </c>
      <c r="BR28" s="73">
        <f>IF(OR($B5="",$B5=0),"",($K5*$C5*(1+'Property Summary'!$I$21)^(BR$13-1)))</f>
        <v>1742.3686478515619</v>
      </c>
      <c r="BS28" s="73">
        <f>IF(OR($B5="",$B5=0),"",($K5*$C5*(1+'Property Summary'!$I$21)^(BS$13-1)))</f>
        <v>1742.3686478515619</v>
      </c>
      <c r="BT28" s="73">
        <f>IF(OR($B5="",$B5=0),"",($K5*$C5*(1+'Property Summary'!$I$21)^(BT$13-1)))</f>
        <v>1742.3686478515619</v>
      </c>
      <c r="BU28" s="73">
        <f>IF(OR($B5="",$B5=0),"",($K5*$C5*(1+'Property Summary'!$I$21)^(BU$13-1)))</f>
        <v>1742.3686478515619</v>
      </c>
      <c r="BV28" s="73">
        <f>IF(OR($B5="",$B5=0),"",($K5*$C5*(1+'Property Summary'!$I$21)^(BV$13-1)))</f>
        <v>1742.3686478515619</v>
      </c>
      <c r="BW28" s="73">
        <f>IF(OR($B5="",$B5=0),"",($K5*$C5*(1+'Property Summary'!$I$21)^(BW$13-1)))</f>
        <v>1785.9278640478508</v>
      </c>
      <c r="BX28" s="73">
        <f>IF(OR($B5="",$B5=0),"",($K5*$C5*(1+'Property Summary'!$I$21)^(BX$13-1)))</f>
        <v>1785.9278640478508</v>
      </c>
      <c r="BY28" s="73">
        <f>IF(OR($B5="",$B5=0),"",($K5*$C5*(1+'Property Summary'!$I$21)^(BY$13-1)))</f>
        <v>1785.9278640478508</v>
      </c>
      <c r="BZ28" s="73">
        <f>IF(OR($B5="",$B5=0),"",($K5*$C5*(1+'Property Summary'!$I$21)^(BZ$13-1)))</f>
        <v>1785.9278640478508</v>
      </c>
      <c r="CA28" s="73">
        <f>IF(OR($B5="",$B5=0),"",($K5*$C5*(1+'Property Summary'!$I$21)^(CA$13-1)))</f>
        <v>1785.9278640478508</v>
      </c>
      <c r="CB28" s="73">
        <f>IF(OR($B5="",$B5=0),"",($K5*$C5*(1+'Property Summary'!$I$21)^(CB$13-1)))</f>
        <v>1785.9278640478508</v>
      </c>
      <c r="CC28" s="73">
        <f>IF(OR($B5="",$B5=0),"",($K5*$C5*(1+'Property Summary'!$I$21)^(CC$13-1)))</f>
        <v>1785.9278640478508</v>
      </c>
      <c r="CD28" s="73">
        <f>IF(OR($B5="",$B5=0),"",($K5*$C5*(1+'Property Summary'!$I$21)^(CD$13-1)))</f>
        <v>1785.9278640478508</v>
      </c>
      <c r="CE28" s="73">
        <f>IF(OR($B5="",$B5=0),"",($K5*$C5*(1+'Property Summary'!$I$21)^(CE$13-1)))</f>
        <v>1785.9278640478508</v>
      </c>
      <c r="CF28" s="73">
        <f>IF(OR($B5="",$B5=0),"",($K5*$C5*(1+'Property Summary'!$I$21)^(CF$13-1)))</f>
        <v>1785.9278640478508</v>
      </c>
      <c r="CG28" s="73">
        <f>IF(OR($B5="",$B5=0),"",($K5*$C5*(1+'Property Summary'!$I$21)^(CG$13-1)))</f>
        <v>1785.9278640478508</v>
      </c>
      <c r="CH28" s="73">
        <f>IF(OR($B5="",$B5=0),"",($K5*$C5*(1+'Property Summary'!$I$21)^(CH$13-1)))</f>
        <v>1785.9278640478508</v>
      </c>
      <c r="CI28" s="73">
        <f>IF(OR($B5="",$B5=0),"",($K5*$C5*(1+'Property Summary'!$I$21)^(CI$13-1)))</f>
        <v>1830.5760606490473</v>
      </c>
      <c r="CJ28" s="73">
        <f>IF(OR($B5="",$B5=0),"",($K5*$C5*(1+'Property Summary'!$I$21)^(CJ$13-1)))</f>
        <v>1830.5760606490473</v>
      </c>
      <c r="CK28" s="73">
        <f>IF(OR($B5="",$B5=0),"",($K5*$C5*(1+'Property Summary'!$I$21)^(CK$13-1)))</f>
        <v>1830.5760606490473</v>
      </c>
      <c r="CL28" s="73">
        <f>IF(OR($B5="",$B5=0),"",($K5*$C5*(1+'Property Summary'!$I$21)^(CL$13-1)))</f>
        <v>1830.5760606490473</v>
      </c>
      <c r="CM28" s="73">
        <f>IF(OR($B5="",$B5=0),"",($K5*$C5*(1+'Property Summary'!$I$21)^(CM$13-1)))</f>
        <v>1830.5760606490473</v>
      </c>
      <c r="CN28" s="73">
        <f>IF(OR($B5="",$B5=0),"",($K5*$C5*(1+'Property Summary'!$I$21)^(CN$13-1)))</f>
        <v>1830.5760606490473</v>
      </c>
      <c r="CO28" s="73">
        <f>IF(OR($B5="",$B5=0),"",($K5*$C5*(1+'Property Summary'!$I$21)^(CO$13-1)))</f>
        <v>1830.5760606490473</v>
      </c>
      <c r="CP28" s="73">
        <f>IF(OR($B5="",$B5=0),"",($K5*$C5*(1+'Property Summary'!$I$21)^(CP$13-1)))</f>
        <v>1830.5760606490473</v>
      </c>
      <c r="CQ28" s="73">
        <f>IF(OR($B5="",$B5=0),"",($K5*$C5*(1+'Property Summary'!$I$21)^(CQ$13-1)))</f>
        <v>1830.5760606490473</v>
      </c>
      <c r="CR28" s="73">
        <f>IF(OR($B5="",$B5=0),"",($K5*$C5*(1+'Property Summary'!$I$21)^(CR$13-1)))</f>
        <v>1830.5760606490473</v>
      </c>
      <c r="CS28" s="73">
        <f>IF(OR($B5="",$B5=0),"",($K5*$C5*(1+'Property Summary'!$I$21)^(CS$13-1)))</f>
        <v>1830.5760606490473</v>
      </c>
      <c r="CT28" s="73">
        <f>IF(OR($B5="",$B5=0),"",($K5*$C5*(1+'Property Summary'!$I$21)^(CT$13-1)))</f>
        <v>1830.5760606490473</v>
      </c>
      <c r="CU28" s="73">
        <f>IF(OR($B5="",$B5=0),"",($K5*$C5*(1+'Property Summary'!$I$21)^(CU$13-1)))</f>
        <v>1876.3404621652733</v>
      </c>
      <c r="CV28" s="73">
        <f>IF(OR($B5="",$B5=0),"",($K5*$C5*(1+'Property Summary'!$I$21)^(CV$13-1)))</f>
        <v>1876.3404621652733</v>
      </c>
      <c r="CW28" s="73">
        <f>IF(OR($B5="",$B5=0),"",($K5*$C5*(1+'Property Summary'!$I$21)^(CW$13-1)))</f>
        <v>1876.3404621652733</v>
      </c>
      <c r="CX28" s="73">
        <f>IF(OR($B5="",$B5=0),"",($K5*$C5*(1+'Property Summary'!$I$21)^(CX$13-1)))</f>
        <v>1876.3404621652733</v>
      </c>
      <c r="CY28" s="73">
        <f>IF(OR($B5="",$B5=0),"",($K5*$C5*(1+'Property Summary'!$I$21)^(CY$13-1)))</f>
        <v>1876.3404621652733</v>
      </c>
      <c r="CZ28" s="73">
        <f>IF(OR($B5="",$B5=0),"",($K5*$C5*(1+'Property Summary'!$I$21)^(CZ$13-1)))</f>
        <v>1876.3404621652733</v>
      </c>
      <c r="DA28" s="73">
        <f>IF(OR($B5="",$B5=0),"",($K5*$C5*(1+'Property Summary'!$I$21)^(DA$13-1)))</f>
        <v>1876.3404621652733</v>
      </c>
      <c r="DB28" s="73">
        <f>IF(OR($B5="",$B5=0),"",($K5*$C5*(1+'Property Summary'!$I$21)^(DB$13-1)))</f>
        <v>1876.3404621652733</v>
      </c>
      <c r="DC28" s="73">
        <f>IF(OR($B5="",$B5=0),"",($K5*$C5*(1+'Property Summary'!$I$21)^(DC$13-1)))</f>
        <v>1876.3404621652733</v>
      </c>
      <c r="DD28" s="73">
        <f>IF(OR($B5="",$B5=0),"",($K5*$C5*(1+'Property Summary'!$I$21)^(DD$13-1)))</f>
        <v>1876.3404621652733</v>
      </c>
      <c r="DE28" s="73">
        <f>IF(OR($B5="",$B5=0),"",($K5*$C5*(1+'Property Summary'!$I$21)^(DE$13-1)))</f>
        <v>1876.3404621652733</v>
      </c>
      <c r="DF28" s="73">
        <f>IF(OR($B5="",$B5=0),"",($K5*$C5*(1+'Property Summary'!$I$21)^(DF$13-1)))</f>
        <v>1876.3404621652733</v>
      </c>
      <c r="DG28" s="73">
        <f>IF(OR($B5="",$B5=0),"",($K5*$C5*(1+'Property Summary'!$I$21)^(DG$13-1)))</f>
        <v>1923.2489737194048</v>
      </c>
      <c r="DH28" s="73">
        <f>IF(OR($B5="",$B5=0),"",($K5*$C5*(1+'Property Summary'!$I$21)^(DH$13-1)))</f>
        <v>1923.2489737194048</v>
      </c>
      <c r="DI28" s="73">
        <f>IF(OR($B5="",$B5=0),"",($K5*$C5*(1+'Property Summary'!$I$21)^(DI$13-1)))</f>
        <v>1923.2489737194048</v>
      </c>
      <c r="DJ28" s="73">
        <f>IF(OR($B5="",$B5=0),"",($K5*$C5*(1+'Property Summary'!$I$21)^(DJ$13-1)))</f>
        <v>1923.2489737194048</v>
      </c>
      <c r="DK28" s="73">
        <f>IF(OR($B5="",$B5=0),"",($K5*$C5*(1+'Property Summary'!$I$21)^(DK$13-1)))</f>
        <v>1923.2489737194048</v>
      </c>
      <c r="DL28" s="73">
        <f>IF(OR($B5="",$B5=0),"",($K5*$C5*(1+'Property Summary'!$I$21)^(DL$13-1)))</f>
        <v>1923.2489737194048</v>
      </c>
      <c r="DM28" s="73">
        <f>IF(OR($B5="",$B5=0),"",($K5*$C5*(1+'Property Summary'!$I$21)^(DM$13-1)))</f>
        <v>1923.2489737194048</v>
      </c>
      <c r="DN28" s="73">
        <f>IF(OR($B5="",$B5=0),"",($K5*$C5*(1+'Property Summary'!$I$21)^(DN$13-1)))</f>
        <v>1923.2489737194048</v>
      </c>
      <c r="DO28" s="73">
        <f>IF(OR($B5="",$B5=0),"",($K5*$C5*(1+'Property Summary'!$I$21)^(DO$13-1)))</f>
        <v>1923.2489737194048</v>
      </c>
      <c r="DP28" s="73">
        <f>IF(OR($B5="",$B5=0),"",($K5*$C5*(1+'Property Summary'!$I$21)^(DP$13-1)))</f>
        <v>1923.2489737194048</v>
      </c>
      <c r="DQ28" s="73">
        <f>IF(OR($B5="",$B5=0),"",($K5*$C5*(1+'Property Summary'!$I$21)^(DQ$13-1)))</f>
        <v>1923.2489737194048</v>
      </c>
      <c r="DR28" s="73">
        <f>IF(OR($B5="",$B5=0),"",($K5*$C5*(1+'Property Summary'!$I$21)^(DR$13-1)))</f>
        <v>1923.2489737194048</v>
      </c>
      <c r="DS28" s="73">
        <f>IF(OR($B5="",$B5=0),"",($K5*$C5*(1+'Property Summary'!$I$21)^(DS$13-1)))</f>
        <v>1971.3301980623899</v>
      </c>
      <c r="DT28" s="73">
        <f>IF(OR($B5="",$B5=0),"",($K5*$C5*(1+'Property Summary'!$I$21)^(DT$13-1)))</f>
        <v>1971.3301980623899</v>
      </c>
      <c r="DU28" s="73">
        <f>IF(OR($B5="",$B5=0),"",($K5*$C5*(1+'Property Summary'!$I$21)^(DU$13-1)))</f>
        <v>1971.3301980623899</v>
      </c>
      <c r="DV28" s="73">
        <f>IF(OR($B5="",$B5=0),"",($K5*$C5*(1+'Property Summary'!$I$21)^(DV$13-1)))</f>
        <v>1971.3301980623899</v>
      </c>
      <c r="DW28" s="73">
        <f>IF(OR($B5="",$B5=0),"",($K5*$C5*(1+'Property Summary'!$I$21)^(DW$13-1)))</f>
        <v>1971.3301980623899</v>
      </c>
      <c r="DX28" s="73">
        <f>IF(OR($B5="",$B5=0),"",($K5*$C5*(1+'Property Summary'!$I$21)^(DX$13-1)))</f>
        <v>1971.3301980623899</v>
      </c>
      <c r="DY28" s="73">
        <f>IF(OR($B5="",$B5=0),"",($K5*$C5*(1+'Property Summary'!$I$21)^(DY$13-1)))</f>
        <v>1971.3301980623899</v>
      </c>
      <c r="DZ28" s="73">
        <f>IF(OR($B5="",$B5=0),"",($K5*$C5*(1+'Property Summary'!$I$21)^(DZ$13-1)))</f>
        <v>1971.3301980623899</v>
      </c>
      <c r="EA28" s="73">
        <f>IF(OR($B5="",$B5=0),"",($K5*$C5*(1+'Property Summary'!$I$21)^(EA$13-1)))</f>
        <v>1971.3301980623899</v>
      </c>
      <c r="EB28" s="73">
        <f>IF(OR($B5="",$B5=0),"",($K5*$C5*(1+'Property Summary'!$I$21)^(EB$13-1)))</f>
        <v>1971.3301980623899</v>
      </c>
      <c r="EC28" s="73">
        <f>IF(OR($B5="",$B5=0),"",($K5*$C5*(1+'Property Summary'!$I$21)^(EC$13-1)))</f>
        <v>1971.3301980623899</v>
      </c>
      <c r="ED28" s="73">
        <f>IF(OR($B5="",$B5=0),"",($K5*$C5*(1+'Property Summary'!$I$21)^(ED$13-1)))</f>
        <v>1971.3301980623899</v>
      </c>
      <c r="EE28" s="73">
        <f>IF(OR($B5="",$B5=0),"",($K5*$C5*(1+'Property Summary'!$I$21)^(EE$13-1)))</f>
        <v>2020.6134530139495</v>
      </c>
      <c r="EF28" s="73">
        <f>IF(OR($B5="",$B5=0),"",($K5*$C5*(1+'Property Summary'!$I$21)^(EF$13-1)))</f>
        <v>2020.6134530139495</v>
      </c>
      <c r="EG28" s="73">
        <f>IF(OR($B5="",$B5=0),"",($K5*$C5*(1+'Property Summary'!$I$21)^(EG$13-1)))</f>
        <v>2020.6134530139495</v>
      </c>
      <c r="EH28" s="73">
        <f>IF(OR($B5="",$B5=0),"",($K5*$C5*(1+'Property Summary'!$I$21)^(EH$13-1)))</f>
        <v>2020.6134530139495</v>
      </c>
      <c r="EI28" s="73">
        <f>IF(OR($B5="",$B5=0),"",($K5*$C5*(1+'Property Summary'!$I$21)^(EI$13-1)))</f>
        <v>2020.6134530139495</v>
      </c>
      <c r="EJ28" s="73">
        <f>IF(OR($B5="",$B5=0),"",($K5*$C5*(1+'Property Summary'!$I$21)^(EJ$13-1)))</f>
        <v>2020.6134530139495</v>
      </c>
      <c r="EK28" s="73">
        <f>IF(OR($B5="",$B5=0),"",($K5*$C5*(1+'Property Summary'!$I$21)^(EK$13-1)))</f>
        <v>2020.6134530139495</v>
      </c>
      <c r="EL28" s="73">
        <f>IF(OR($B5="",$B5=0),"",($K5*$C5*(1+'Property Summary'!$I$21)^(EL$13-1)))</f>
        <v>2020.6134530139495</v>
      </c>
      <c r="EM28" s="73">
        <f>IF(OR($B5="",$B5=0),"",($K5*$C5*(1+'Property Summary'!$I$21)^(EM$13-1)))</f>
        <v>2020.6134530139495</v>
      </c>
      <c r="EN28" s="73">
        <f>IF(OR($B5="",$B5=0),"",($K5*$C5*(1+'Property Summary'!$I$21)^(EN$13-1)))</f>
        <v>2020.6134530139495</v>
      </c>
      <c r="EO28" s="73">
        <f>IF(OR($B5="",$B5=0),"",($K5*$C5*(1+'Property Summary'!$I$21)^(EO$13-1)))</f>
        <v>2020.6134530139495</v>
      </c>
      <c r="EP28" s="73">
        <f>IF(OR($B5="",$B5=0),"",($K5*$C5*(1+'Property Summary'!$I$21)^(EP$13-1)))</f>
        <v>2020.6134530139495</v>
      </c>
      <c r="EQ28" s="73">
        <f>IF(OR($B5="",$B5=0),"",($K5*$C5*(1+'Property Summary'!$I$21)^(EQ$13-1)))</f>
        <v>2071.1287893392982</v>
      </c>
      <c r="ER28" s="73">
        <f>IF(OR($B5="",$B5=0),"",($K5*$C5*(1+'Property Summary'!$I$21)^(ER$13-1)))</f>
        <v>2071.1287893392982</v>
      </c>
      <c r="ES28" s="73">
        <f>IF(OR($B5="",$B5=0),"",($K5*$C5*(1+'Property Summary'!$I$21)^(ES$13-1)))</f>
        <v>2071.1287893392982</v>
      </c>
      <c r="ET28" s="73">
        <f>IF(OR($B5="",$B5=0),"",($K5*$C5*(1+'Property Summary'!$I$21)^(ET$13-1)))</f>
        <v>2071.1287893392982</v>
      </c>
      <c r="EU28" s="73">
        <f>IF(OR($B5="",$B5=0),"",($K5*$C5*(1+'Property Summary'!$I$21)^(EU$13-1)))</f>
        <v>2071.1287893392982</v>
      </c>
      <c r="EV28" s="73">
        <f>IF(OR($B5="",$B5=0),"",($K5*$C5*(1+'Property Summary'!$I$21)^(EV$13-1)))</f>
        <v>2071.1287893392982</v>
      </c>
      <c r="EW28" s="73">
        <f>IF(OR($B5="",$B5=0),"",($K5*$C5*(1+'Property Summary'!$I$21)^(EW$13-1)))</f>
        <v>2071.1287893392982</v>
      </c>
      <c r="EX28" s="73">
        <f>IF(OR($B5="",$B5=0),"",($K5*$C5*(1+'Property Summary'!$I$21)^(EX$13-1)))</f>
        <v>2071.1287893392982</v>
      </c>
      <c r="EY28" s="73">
        <f>IF(OR($B5="",$B5=0),"",($K5*$C5*(1+'Property Summary'!$I$21)^(EY$13-1)))</f>
        <v>2071.1287893392982</v>
      </c>
      <c r="EZ28" s="73">
        <f>IF(OR($B5="",$B5=0),"",($K5*$C5*(1+'Property Summary'!$I$21)^(EZ$13-1)))</f>
        <v>2071.1287893392982</v>
      </c>
      <c r="FA28" s="73">
        <f>IF(OR($B5="",$B5=0),"",($K5*$C5*(1+'Property Summary'!$I$21)^(FA$13-1)))</f>
        <v>2071.1287893392982</v>
      </c>
      <c r="FB28" s="73">
        <f>IF(OR($B5="",$B5=0),"",($K5*$C5*(1+'Property Summary'!$I$21)^(FB$13-1)))</f>
        <v>2071.1287893392982</v>
      </c>
      <c r="FC28" s="73">
        <f>IF(OR($B5="",$B5=0),"",($K5*$C5*(1+'Property Summary'!$I$21)^(FC$13-1)))</f>
        <v>2122.9070090727805</v>
      </c>
      <c r="FD28" s="73">
        <f>IF(OR($B5="",$B5=0),"",($K5*$C5*(1+'Property Summary'!$I$21)^(FD$13-1)))</f>
        <v>2122.9070090727805</v>
      </c>
      <c r="FE28" s="73">
        <f>IF(OR($B5="",$B5=0),"",($K5*$C5*(1+'Property Summary'!$I$21)^(FE$13-1)))</f>
        <v>2122.9070090727805</v>
      </c>
      <c r="FF28" s="73">
        <f>IF(OR($B5="",$B5=0),"",($K5*$C5*(1+'Property Summary'!$I$21)^(FF$13-1)))</f>
        <v>2122.9070090727805</v>
      </c>
      <c r="FG28" s="73">
        <f>IF(OR($B5="",$B5=0),"",($K5*$C5*(1+'Property Summary'!$I$21)^(FG$13-1)))</f>
        <v>2122.9070090727805</v>
      </c>
      <c r="FH28" s="73">
        <f>IF(OR($B5="",$B5=0),"",($K5*$C5*(1+'Property Summary'!$I$21)^(FH$13-1)))</f>
        <v>2122.9070090727805</v>
      </c>
      <c r="FI28" s="73">
        <f>IF(OR($B5="",$B5=0),"",($K5*$C5*(1+'Property Summary'!$I$21)^(FI$13-1)))</f>
        <v>2122.9070090727805</v>
      </c>
      <c r="FJ28" s="73">
        <f>IF(OR($B5="",$B5=0),"",($K5*$C5*(1+'Property Summary'!$I$21)^(FJ$13-1)))</f>
        <v>2122.9070090727805</v>
      </c>
      <c r="FK28" s="73">
        <f>IF(OR($B5="",$B5=0),"",($K5*$C5*(1+'Property Summary'!$I$21)^(FK$13-1)))</f>
        <v>2122.9070090727805</v>
      </c>
      <c r="FL28" s="73">
        <f>IF(OR($B5="",$B5=0),"",($K5*$C5*(1+'Property Summary'!$I$21)^(FL$13-1)))</f>
        <v>2122.9070090727805</v>
      </c>
      <c r="FM28" s="73">
        <f>IF(OR($B5="",$B5=0),"",($K5*$C5*(1+'Property Summary'!$I$21)^(FM$13-1)))</f>
        <v>2122.9070090727805</v>
      </c>
      <c r="FN28" s="73">
        <f>IF(OR($B5="",$B5=0),"",($K5*$C5*(1+'Property Summary'!$I$21)^(FN$13-1)))</f>
        <v>2122.9070090727805</v>
      </c>
      <c r="FO28" s="73">
        <f>IF(OR($B5="",$B5=0),"",($K5*$C5*(1+'Property Summary'!$I$21)^(FO$13-1)))</f>
        <v>2175.9796842995997</v>
      </c>
      <c r="FP28" s="73">
        <f>IF(OR($B5="",$B5=0),"",($K5*$C5*(1+'Property Summary'!$I$21)^(FP$13-1)))</f>
        <v>2175.9796842995997</v>
      </c>
      <c r="FQ28" s="73">
        <f>IF(OR($B5="",$B5=0),"",($K5*$C5*(1+'Property Summary'!$I$21)^(FQ$13-1)))</f>
        <v>2175.9796842995997</v>
      </c>
      <c r="FR28" s="73">
        <f>IF(OR($B5="",$B5=0),"",($K5*$C5*(1+'Property Summary'!$I$21)^(FR$13-1)))</f>
        <v>2175.9796842995997</v>
      </c>
      <c r="FS28" s="73">
        <f>IF(OR($B5="",$B5=0),"",($K5*$C5*(1+'Property Summary'!$I$21)^(FS$13-1)))</f>
        <v>2175.9796842995997</v>
      </c>
      <c r="FT28" s="73">
        <f>IF(OR($B5="",$B5=0),"",($K5*$C5*(1+'Property Summary'!$I$21)^(FT$13-1)))</f>
        <v>2175.9796842995997</v>
      </c>
      <c r="FU28" s="73">
        <f>IF(OR($B5="",$B5=0),"",($K5*$C5*(1+'Property Summary'!$I$21)^(FU$13-1)))</f>
        <v>2175.9796842995997</v>
      </c>
      <c r="FV28" s="73">
        <f>IF(OR($B5="",$B5=0),"",($K5*$C5*(1+'Property Summary'!$I$21)^(FV$13-1)))</f>
        <v>2175.9796842995997</v>
      </c>
      <c r="FW28" s="73">
        <f>IF(OR($B5="",$B5=0),"",($K5*$C5*(1+'Property Summary'!$I$21)^(FW$13-1)))</f>
        <v>2175.9796842995997</v>
      </c>
      <c r="FX28" s="73">
        <f>IF(OR($B5="",$B5=0),"",($K5*$C5*(1+'Property Summary'!$I$21)^(FX$13-1)))</f>
        <v>2175.9796842995997</v>
      </c>
      <c r="FY28" s="73">
        <f>IF(OR($B5="",$B5=0),"",($K5*$C5*(1+'Property Summary'!$I$21)^(FY$13-1)))</f>
        <v>2175.9796842995997</v>
      </c>
      <c r="FZ28" s="86">
        <f>IF(OR($B5="",$B5=0),"",($K5*$C5*(1+'Property Summary'!$I$21)^(FZ$13-1)))</f>
        <v>2175.9796842995997</v>
      </c>
    </row>
    <row r="29" spans="2:182" x14ac:dyDescent="0.2">
      <c r="B29" s="85"/>
      <c r="C29" s="73">
        <f>IF(OR($B6="",$B6=0),"",($K6*$C6*(1+'Property Summary'!$I$21)^(C$13-1)))</f>
        <v>1800</v>
      </c>
      <c r="D29" s="73">
        <f>IF(OR($B6="",$B6=0),"",($K6*$C6*(1+'Property Summary'!$I$21)^(D$13-1)))</f>
        <v>1800</v>
      </c>
      <c r="E29" s="73">
        <f>IF(OR($B6="",$B6=0),"",($K6*$C6*(1+'Property Summary'!$I$21)^(E$13-1)))</f>
        <v>1800</v>
      </c>
      <c r="F29" s="73">
        <f>IF(OR($B6="",$B6=0),"",($K6*$C6*(1+'Property Summary'!$I$21)^(F$13-1)))</f>
        <v>1800</v>
      </c>
      <c r="G29" s="73">
        <f>IF(OR($B6="",$B6=0),"",($K6*$C6*(1+'Property Summary'!$I$21)^(G$13-1)))</f>
        <v>1800</v>
      </c>
      <c r="H29" s="73">
        <f>IF(OR($B6="",$B6=0),"",($K6*$C6*(1+'Property Summary'!$I$21)^(H$13-1)))</f>
        <v>1800</v>
      </c>
      <c r="I29" s="73">
        <f>IF(OR($B6="",$B6=0),"",($K6*$C6*(1+'Property Summary'!$I$21)^(I$13-1)))</f>
        <v>1800</v>
      </c>
      <c r="J29" s="73">
        <f>IF(OR($B6="",$B6=0),"",($K6*$C6*(1+'Property Summary'!$I$21)^(J$13-1)))</f>
        <v>1800</v>
      </c>
      <c r="K29" s="73">
        <f>IF(OR($B6="",$B6=0),"",($K6*$C6*(1+'Property Summary'!$I$21)^(K$13-1)))</f>
        <v>1800</v>
      </c>
      <c r="L29" s="73">
        <f>IF(OR($B6="",$B6=0),"",($K6*$C6*(1+'Property Summary'!$I$21)^(L$13-1)))</f>
        <v>1800</v>
      </c>
      <c r="M29" s="73">
        <f>IF(OR($B6="",$B6=0),"",($K6*$C6*(1+'Property Summary'!$I$21)^(M$13-1)))</f>
        <v>1800</v>
      </c>
      <c r="N29" s="73">
        <f>IF(OR($B6="",$B6=0),"",($K6*$C6*(1+'Property Summary'!$I$21)^(N$13-1)))</f>
        <v>1800</v>
      </c>
      <c r="O29" s="73">
        <f>IF(OR($B6="",$B6=0),"",($K6*$C6*(1+'Property Summary'!$I$21)^(O$13-1)))</f>
        <v>1844.9999999999998</v>
      </c>
      <c r="P29" s="73">
        <f>IF(OR($B6="",$B6=0),"",($K6*$C6*(1+'Property Summary'!$I$21)^(P$13-1)))</f>
        <v>1844.9999999999998</v>
      </c>
      <c r="Q29" s="73">
        <f>IF(OR($B6="",$B6=0),"",($K6*$C6*(1+'Property Summary'!$I$21)^(Q$13-1)))</f>
        <v>1844.9999999999998</v>
      </c>
      <c r="R29" s="73">
        <f>IF(OR($B6="",$B6=0),"",($K6*$C6*(1+'Property Summary'!$I$21)^(R$13-1)))</f>
        <v>1844.9999999999998</v>
      </c>
      <c r="S29" s="73">
        <f>IF(OR($B6="",$B6=0),"",($K6*$C6*(1+'Property Summary'!$I$21)^(S$13-1)))</f>
        <v>1844.9999999999998</v>
      </c>
      <c r="T29" s="73">
        <f>IF(OR($B6="",$B6=0),"",($K6*$C6*(1+'Property Summary'!$I$21)^(T$13-1)))</f>
        <v>1844.9999999999998</v>
      </c>
      <c r="U29" s="73">
        <f>IF(OR($B6="",$B6=0),"",($K6*$C6*(1+'Property Summary'!$I$21)^(U$13-1)))</f>
        <v>1844.9999999999998</v>
      </c>
      <c r="V29" s="73">
        <f>IF(OR($B6="",$B6=0),"",($K6*$C6*(1+'Property Summary'!$I$21)^(V$13-1)))</f>
        <v>1844.9999999999998</v>
      </c>
      <c r="W29" s="73">
        <f>IF(OR($B6="",$B6=0),"",($K6*$C6*(1+'Property Summary'!$I$21)^(W$13-1)))</f>
        <v>1844.9999999999998</v>
      </c>
      <c r="X29" s="73">
        <f>IF(OR($B6="",$B6=0),"",($K6*$C6*(1+'Property Summary'!$I$21)^(X$13-1)))</f>
        <v>1844.9999999999998</v>
      </c>
      <c r="Y29" s="73">
        <f>IF(OR($B6="",$B6=0),"",($K6*$C6*(1+'Property Summary'!$I$21)^(Y$13-1)))</f>
        <v>1844.9999999999998</v>
      </c>
      <c r="Z29" s="73">
        <f>IF(OR($B6="",$B6=0),"",($K6*$C6*(1+'Property Summary'!$I$21)^(Z$13-1)))</f>
        <v>1844.9999999999998</v>
      </c>
      <c r="AA29" s="73">
        <f>IF(OR($B6="",$B6=0),"",($K6*$C6*(1+'Property Summary'!$I$21)^(AA$13-1)))</f>
        <v>1891.1249999999998</v>
      </c>
      <c r="AB29" s="73">
        <f>IF(OR($B6="",$B6=0),"",($K6*$C6*(1+'Property Summary'!$I$21)^(AB$13-1)))</f>
        <v>1891.1249999999998</v>
      </c>
      <c r="AC29" s="73">
        <f>IF(OR($B6="",$B6=0),"",($K6*$C6*(1+'Property Summary'!$I$21)^(AC$13-1)))</f>
        <v>1891.1249999999998</v>
      </c>
      <c r="AD29" s="73">
        <f>IF(OR($B6="",$B6=0),"",($K6*$C6*(1+'Property Summary'!$I$21)^(AD$13-1)))</f>
        <v>1891.1249999999998</v>
      </c>
      <c r="AE29" s="73">
        <f>IF(OR($B6="",$B6=0),"",($K6*$C6*(1+'Property Summary'!$I$21)^(AE$13-1)))</f>
        <v>1891.1249999999998</v>
      </c>
      <c r="AF29" s="73">
        <f>IF(OR($B6="",$B6=0),"",($K6*$C6*(1+'Property Summary'!$I$21)^(AF$13-1)))</f>
        <v>1891.1249999999998</v>
      </c>
      <c r="AG29" s="73">
        <f>IF(OR($B6="",$B6=0),"",($K6*$C6*(1+'Property Summary'!$I$21)^(AG$13-1)))</f>
        <v>1891.1249999999998</v>
      </c>
      <c r="AH29" s="73">
        <f>IF(OR($B6="",$B6=0),"",($K6*$C6*(1+'Property Summary'!$I$21)^(AH$13-1)))</f>
        <v>1891.1249999999998</v>
      </c>
      <c r="AI29" s="73">
        <f>IF(OR($B6="",$B6=0),"",($K6*$C6*(1+'Property Summary'!$I$21)^(AI$13-1)))</f>
        <v>1891.1249999999998</v>
      </c>
      <c r="AJ29" s="73">
        <f>IF(OR($B6="",$B6=0),"",($K6*$C6*(1+'Property Summary'!$I$21)^(AJ$13-1)))</f>
        <v>1891.1249999999998</v>
      </c>
      <c r="AK29" s="73">
        <f>IF(OR($B6="",$B6=0),"",($K6*$C6*(1+'Property Summary'!$I$21)^(AK$13-1)))</f>
        <v>1891.1249999999998</v>
      </c>
      <c r="AL29" s="73">
        <f>IF(OR($B6="",$B6=0),"",($K6*$C6*(1+'Property Summary'!$I$21)^(AL$13-1)))</f>
        <v>1891.1249999999998</v>
      </c>
      <c r="AM29" s="73">
        <f>IF(OR($B6="",$B6=0),"",($K6*$C6*(1+'Property Summary'!$I$21)^(AM$13-1)))</f>
        <v>1938.4031249999998</v>
      </c>
      <c r="AN29" s="73">
        <f>IF(OR($B6="",$B6=0),"",($K6*$C6*(1+'Property Summary'!$I$21)^(AN$13-1)))</f>
        <v>1938.4031249999998</v>
      </c>
      <c r="AO29" s="73">
        <f>IF(OR($B6="",$B6=0),"",($K6*$C6*(1+'Property Summary'!$I$21)^(AO$13-1)))</f>
        <v>1938.4031249999998</v>
      </c>
      <c r="AP29" s="73">
        <f>IF(OR($B6="",$B6=0),"",($K6*$C6*(1+'Property Summary'!$I$21)^(AP$13-1)))</f>
        <v>1938.4031249999998</v>
      </c>
      <c r="AQ29" s="73">
        <f>IF(OR($B6="",$B6=0),"",($K6*$C6*(1+'Property Summary'!$I$21)^(AQ$13-1)))</f>
        <v>1938.4031249999998</v>
      </c>
      <c r="AR29" s="73">
        <f>IF(OR($B6="",$B6=0),"",($K6*$C6*(1+'Property Summary'!$I$21)^(AR$13-1)))</f>
        <v>1938.4031249999998</v>
      </c>
      <c r="AS29" s="73">
        <f>IF(OR($B6="",$B6=0),"",($K6*$C6*(1+'Property Summary'!$I$21)^(AS$13-1)))</f>
        <v>1938.4031249999998</v>
      </c>
      <c r="AT29" s="73">
        <f>IF(OR($B6="",$B6=0),"",($K6*$C6*(1+'Property Summary'!$I$21)^(AT$13-1)))</f>
        <v>1938.4031249999998</v>
      </c>
      <c r="AU29" s="73">
        <f>IF(OR($B6="",$B6=0),"",($K6*$C6*(1+'Property Summary'!$I$21)^(AU$13-1)))</f>
        <v>1938.4031249999998</v>
      </c>
      <c r="AV29" s="73">
        <f>IF(OR($B6="",$B6=0),"",($K6*$C6*(1+'Property Summary'!$I$21)^(AV$13-1)))</f>
        <v>1938.4031249999998</v>
      </c>
      <c r="AW29" s="73">
        <f>IF(OR($B6="",$B6=0),"",($K6*$C6*(1+'Property Summary'!$I$21)^(AW$13-1)))</f>
        <v>1938.4031249999998</v>
      </c>
      <c r="AX29" s="73">
        <f>IF(OR($B6="",$B6=0),"",($K6*$C6*(1+'Property Summary'!$I$21)^(AX$13-1)))</f>
        <v>1938.4031249999998</v>
      </c>
      <c r="AY29" s="73">
        <f>IF(OR($B6="",$B6=0),"",($K6*$C6*(1+'Property Summary'!$I$21)^(AY$13-1)))</f>
        <v>1986.8632031249995</v>
      </c>
      <c r="AZ29" s="73">
        <f>IF(OR($B6="",$B6=0),"",($K6*$C6*(1+'Property Summary'!$I$21)^(AZ$13-1)))</f>
        <v>1986.8632031249995</v>
      </c>
      <c r="BA29" s="73">
        <f>IF(OR($B6="",$B6=0),"",($K6*$C6*(1+'Property Summary'!$I$21)^(BA$13-1)))</f>
        <v>1986.8632031249995</v>
      </c>
      <c r="BB29" s="73">
        <f>IF(OR($B6="",$B6=0),"",($K6*$C6*(1+'Property Summary'!$I$21)^(BB$13-1)))</f>
        <v>1986.8632031249995</v>
      </c>
      <c r="BC29" s="73">
        <f>IF(OR($B6="",$B6=0),"",($K6*$C6*(1+'Property Summary'!$I$21)^(BC$13-1)))</f>
        <v>1986.8632031249995</v>
      </c>
      <c r="BD29" s="73">
        <f>IF(OR($B6="",$B6=0),"",($K6*$C6*(1+'Property Summary'!$I$21)^(BD$13-1)))</f>
        <v>1986.8632031249995</v>
      </c>
      <c r="BE29" s="73">
        <f>IF(OR($B6="",$B6=0),"",($K6*$C6*(1+'Property Summary'!$I$21)^(BE$13-1)))</f>
        <v>1986.8632031249995</v>
      </c>
      <c r="BF29" s="73">
        <f>IF(OR($B6="",$B6=0),"",($K6*$C6*(1+'Property Summary'!$I$21)^(BF$13-1)))</f>
        <v>1986.8632031249995</v>
      </c>
      <c r="BG29" s="73">
        <f>IF(OR($B6="",$B6=0),"",($K6*$C6*(1+'Property Summary'!$I$21)^(BG$13-1)))</f>
        <v>1986.8632031249995</v>
      </c>
      <c r="BH29" s="73">
        <f>IF(OR($B6="",$B6=0),"",($K6*$C6*(1+'Property Summary'!$I$21)^(BH$13-1)))</f>
        <v>1986.8632031249995</v>
      </c>
      <c r="BI29" s="73">
        <f>IF(OR($B6="",$B6=0),"",($K6*$C6*(1+'Property Summary'!$I$21)^(BI$13-1)))</f>
        <v>1986.8632031249995</v>
      </c>
      <c r="BJ29" s="73">
        <f>IF(OR($B6="",$B6=0),"",($K6*$C6*(1+'Property Summary'!$I$21)^(BJ$13-1)))</f>
        <v>1986.8632031249995</v>
      </c>
      <c r="BK29" s="73">
        <f>IF(OR($B6="",$B6=0),"",($K6*$C6*(1+'Property Summary'!$I$21)^(BK$13-1)))</f>
        <v>2036.5347832031243</v>
      </c>
      <c r="BL29" s="73">
        <f>IF(OR($B6="",$B6=0),"",($K6*$C6*(1+'Property Summary'!$I$21)^(BL$13-1)))</f>
        <v>2036.5347832031243</v>
      </c>
      <c r="BM29" s="73">
        <f>IF(OR($B6="",$B6=0),"",($K6*$C6*(1+'Property Summary'!$I$21)^(BM$13-1)))</f>
        <v>2036.5347832031243</v>
      </c>
      <c r="BN29" s="73">
        <f>IF(OR($B6="",$B6=0),"",($K6*$C6*(1+'Property Summary'!$I$21)^(BN$13-1)))</f>
        <v>2036.5347832031243</v>
      </c>
      <c r="BO29" s="73">
        <f>IF(OR($B6="",$B6=0),"",($K6*$C6*(1+'Property Summary'!$I$21)^(BO$13-1)))</f>
        <v>2036.5347832031243</v>
      </c>
      <c r="BP29" s="73">
        <f>IF(OR($B6="",$B6=0),"",($K6*$C6*(1+'Property Summary'!$I$21)^(BP$13-1)))</f>
        <v>2036.5347832031243</v>
      </c>
      <c r="BQ29" s="73">
        <f>IF(OR($B6="",$B6=0),"",($K6*$C6*(1+'Property Summary'!$I$21)^(BQ$13-1)))</f>
        <v>2036.5347832031243</v>
      </c>
      <c r="BR29" s="73">
        <f>IF(OR($B6="",$B6=0),"",($K6*$C6*(1+'Property Summary'!$I$21)^(BR$13-1)))</f>
        <v>2036.5347832031243</v>
      </c>
      <c r="BS29" s="73">
        <f>IF(OR($B6="",$B6=0),"",($K6*$C6*(1+'Property Summary'!$I$21)^(BS$13-1)))</f>
        <v>2036.5347832031243</v>
      </c>
      <c r="BT29" s="73">
        <f>IF(OR($B6="",$B6=0),"",($K6*$C6*(1+'Property Summary'!$I$21)^(BT$13-1)))</f>
        <v>2036.5347832031243</v>
      </c>
      <c r="BU29" s="73">
        <f>IF(OR($B6="",$B6=0),"",($K6*$C6*(1+'Property Summary'!$I$21)^(BU$13-1)))</f>
        <v>2036.5347832031243</v>
      </c>
      <c r="BV29" s="73">
        <f>IF(OR($B6="",$B6=0),"",($K6*$C6*(1+'Property Summary'!$I$21)^(BV$13-1)))</f>
        <v>2036.5347832031243</v>
      </c>
      <c r="BW29" s="73">
        <f>IF(OR($B6="",$B6=0),"",($K6*$C6*(1+'Property Summary'!$I$21)^(BW$13-1)))</f>
        <v>2087.4481527832022</v>
      </c>
      <c r="BX29" s="73">
        <f>IF(OR($B6="",$B6=0),"",($K6*$C6*(1+'Property Summary'!$I$21)^(BX$13-1)))</f>
        <v>2087.4481527832022</v>
      </c>
      <c r="BY29" s="73">
        <f>IF(OR($B6="",$B6=0),"",($K6*$C6*(1+'Property Summary'!$I$21)^(BY$13-1)))</f>
        <v>2087.4481527832022</v>
      </c>
      <c r="BZ29" s="73">
        <f>IF(OR($B6="",$B6=0),"",($K6*$C6*(1+'Property Summary'!$I$21)^(BZ$13-1)))</f>
        <v>2087.4481527832022</v>
      </c>
      <c r="CA29" s="73">
        <f>IF(OR($B6="",$B6=0),"",($K6*$C6*(1+'Property Summary'!$I$21)^(CA$13-1)))</f>
        <v>2087.4481527832022</v>
      </c>
      <c r="CB29" s="73">
        <f>IF(OR($B6="",$B6=0),"",($K6*$C6*(1+'Property Summary'!$I$21)^(CB$13-1)))</f>
        <v>2087.4481527832022</v>
      </c>
      <c r="CC29" s="73">
        <f>IF(OR($B6="",$B6=0),"",($K6*$C6*(1+'Property Summary'!$I$21)^(CC$13-1)))</f>
        <v>2087.4481527832022</v>
      </c>
      <c r="CD29" s="73">
        <f>IF(OR($B6="",$B6=0),"",($K6*$C6*(1+'Property Summary'!$I$21)^(CD$13-1)))</f>
        <v>2087.4481527832022</v>
      </c>
      <c r="CE29" s="73">
        <f>IF(OR($B6="",$B6=0),"",($K6*$C6*(1+'Property Summary'!$I$21)^(CE$13-1)))</f>
        <v>2087.4481527832022</v>
      </c>
      <c r="CF29" s="73">
        <f>IF(OR($B6="",$B6=0),"",($K6*$C6*(1+'Property Summary'!$I$21)^(CF$13-1)))</f>
        <v>2087.4481527832022</v>
      </c>
      <c r="CG29" s="73">
        <f>IF(OR($B6="",$B6=0),"",($K6*$C6*(1+'Property Summary'!$I$21)^(CG$13-1)))</f>
        <v>2087.4481527832022</v>
      </c>
      <c r="CH29" s="73">
        <f>IF(OR($B6="",$B6=0),"",($K6*$C6*(1+'Property Summary'!$I$21)^(CH$13-1)))</f>
        <v>2087.4481527832022</v>
      </c>
      <c r="CI29" s="73">
        <f>IF(OR($B6="",$B6=0),"",($K6*$C6*(1+'Property Summary'!$I$21)^(CI$13-1)))</f>
        <v>2139.6343566027826</v>
      </c>
      <c r="CJ29" s="73">
        <f>IF(OR($B6="",$B6=0),"",($K6*$C6*(1+'Property Summary'!$I$21)^(CJ$13-1)))</f>
        <v>2139.6343566027826</v>
      </c>
      <c r="CK29" s="73">
        <f>IF(OR($B6="",$B6=0),"",($K6*$C6*(1+'Property Summary'!$I$21)^(CK$13-1)))</f>
        <v>2139.6343566027826</v>
      </c>
      <c r="CL29" s="73">
        <f>IF(OR($B6="",$B6=0),"",($K6*$C6*(1+'Property Summary'!$I$21)^(CL$13-1)))</f>
        <v>2139.6343566027826</v>
      </c>
      <c r="CM29" s="73">
        <f>IF(OR($B6="",$B6=0),"",($K6*$C6*(1+'Property Summary'!$I$21)^(CM$13-1)))</f>
        <v>2139.6343566027826</v>
      </c>
      <c r="CN29" s="73">
        <f>IF(OR($B6="",$B6=0),"",($K6*$C6*(1+'Property Summary'!$I$21)^(CN$13-1)))</f>
        <v>2139.6343566027826</v>
      </c>
      <c r="CO29" s="73">
        <f>IF(OR($B6="",$B6=0),"",($K6*$C6*(1+'Property Summary'!$I$21)^(CO$13-1)))</f>
        <v>2139.6343566027826</v>
      </c>
      <c r="CP29" s="73">
        <f>IF(OR($B6="",$B6=0),"",($K6*$C6*(1+'Property Summary'!$I$21)^(CP$13-1)))</f>
        <v>2139.6343566027826</v>
      </c>
      <c r="CQ29" s="73">
        <f>IF(OR($B6="",$B6=0),"",($K6*$C6*(1+'Property Summary'!$I$21)^(CQ$13-1)))</f>
        <v>2139.6343566027826</v>
      </c>
      <c r="CR29" s="73">
        <f>IF(OR($B6="",$B6=0),"",($K6*$C6*(1+'Property Summary'!$I$21)^(CR$13-1)))</f>
        <v>2139.6343566027826</v>
      </c>
      <c r="CS29" s="73">
        <f>IF(OR($B6="",$B6=0),"",($K6*$C6*(1+'Property Summary'!$I$21)^(CS$13-1)))</f>
        <v>2139.6343566027826</v>
      </c>
      <c r="CT29" s="73">
        <f>IF(OR($B6="",$B6=0),"",($K6*$C6*(1+'Property Summary'!$I$21)^(CT$13-1)))</f>
        <v>2139.6343566027826</v>
      </c>
      <c r="CU29" s="73">
        <f>IF(OR($B6="",$B6=0),"",($K6*$C6*(1+'Property Summary'!$I$21)^(CU$13-1)))</f>
        <v>2193.1252155178518</v>
      </c>
      <c r="CV29" s="73">
        <f>IF(OR($B6="",$B6=0),"",($K6*$C6*(1+'Property Summary'!$I$21)^(CV$13-1)))</f>
        <v>2193.1252155178518</v>
      </c>
      <c r="CW29" s="73">
        <f>IF(OR($B6="",$B6=0),"",($K6*$C6*(1+'Property Summary'!$I$21)^(CW$13-1)))</f>
        <v>2193.1252155178518</v>
      </c>
      <c r="CX29" s="73">
        <f>IF(OR($B6="",$B6=0),"",($K6*$C6*(1+'Property Summary'!$I$21)^(CX$13-1)))</f>
        <v>2193.1252155178518</v>
      </c>
      <c r="CY29" s="73">
        <f>IF(OR($B6="",$B6=0),"",($K6*$C6*(1+'Property Summary'!$I$21)^(CY$13-1)))</f>
        <v>2193.1252155178518</v>
      </c>
      <c r="CZ29" s="73">
        <f>IF(OR($B6="",$B6=0),"",($K6*$C6*(1+'Property Summary'!$I$21)^(CZ$13-1)))</f>
        <v>2193.1252155178518</v>
      </c>
      <c r="DA29" s="73">
        <f>IF(OR($B6="",$B6=0),"",($K6*$C6*(1+'Property Summary'!$I$21)^(DA$13-1)))</f>
        <v>2193.1252155178518</v>
      </c>
      <c r="DB29" s="73">
        <f>IF(OR($B6="",$B6=0),"",($K6*$C6*(1+'Property Summary'!$I$21)^(DB$13-1)))</f>
        <v>2193.1252155178518</v>
      </c>
      <c r="DC29" s="73">
        <f>IF(OR($B6="",$B6=0),"",($K6*$C6*(1+'Property Summary'!$I$21)^(DC$13-1)))</f>
        <v>2193.1252155178518</v>
      </c>
      <c r="DD29" s="73">
        <f>IF(OR($B6="",$B6=0),"",($K6*$C6*(1+'Property Summary'!$I$21)^(DD$13-1)))</f>
        <v>2193.1252155178518</v>
      </c>
      <c r="DE29" s="73">
        <f>IF(OR($B6="",$B6=0),"",($K6*$C6*(1+'Property Summary'!$I$21)^(DE$13-1)))</f>
        <v>2193.1252155178518</v>
      </c>
      <c r="DF29" s="73">
        <f>IF(OR($B6="",$B6=0),"",($K6*$C6*(1+'Property Summary'!$I$21)^(DF$13-1)))</f>
        <v>2193.1252155178518</v>
      </c>
      <c r="DG29" s="73">
        <f>IF(OR($B6="",$B6=0),"",($K6*$C6*(1+'Property Summary'!$I$21)^(DG$13-1)))</f>
        <v>2247.953345905798</v>
      </c>
      <c r="DH29" s="73">
        <f>IF(OR($B6="",$B6=0),"",($K6*$C6*(1+'Property Summary'!$I$21)^(DH$13-1)))</f>
        <v>2247.953345905798</v>
      </c>
      <c r="DI29" s="73">
        <f>IF(OR($B6="",$B6=0),"",($K6*$C6*(1+'Property Summary'!$I$21)^(DI$13-1)))</f>
        <v>2247.953345905798</v>
      </c>
      <c r="DJ29" s="73">
        <f>IF(OR($B6="",$B6=0),"",($K6*$C6*(1+'Property Summary'!$I$21)^(DJ$13-1)))</f>
        <v>2247.953345905798</v>
      </c>
      <c r="DK29" s="73">
        <f>IF(OR($B6="",$B6=0),"",($K6*$C6*(1+'Property Summary'!$I$21)^(DK$13-1)))</f>
        <v>2247.953345905798</v>
      </c>
      <c r="DL29" s="73">
        <f>IF(OR($B6="",$B6=0),"",($K6*$C6*(1+'Property Summary'!$I$21)^(DL$13-1)))</f>
        <v>2247.953345905798</v>
      </c>
      <c r="DM29" s="73">
        <f>IF(OR($B6="",$B6=0),"",($K6*$C6*(1+'Property Summary'!$I$21)^(DM$13-1)))</f>
        <v>2247.953345905798</v>
      </c>
      <c r="DN29" s="73">
        <f>IF(OR($B6="",$B6=0),"",($K6*$C6*(1+'Property Summary'!$I$21)^(DN$13-1)))</f>
        <v>2247.953345905798</v>
      </c>
      <c r="DO29" s="73">
        <f>IF(OR($B6="",$B6=0),"",($K6*$C6*(1+'Property Summary'!$I$21)^(DO$13-1)))</f>
        <v>2247.953345905798</v>
      </c>
      <c r="DP29" s="73">
        <f>IF(OR($B6="",$B6=0),"",($K6*$C6*(1+'Property Summary'!$I$21)^(DP$13-1)))</f>
        <v>2247.953345905798</v>
      </c>
      <c r="DQ29" s="73">
        <f>IF(OR($B6="",$B6=0),"",($K6*$C6*(1+'Property Summary'!$I$21)^(DQ$13-1)))</f>
        <v>2247.953345905798</v>
      </c>
      <c r="DR29" s="73">
        <f>IF(OR($B6="",$B6=0),"",($K6*$C6*(1+'Property Summary'!$I$21)^(DR$13-1)))</f>
        <v>2247.953345905798</v>
      </c>
      <c r="DS29" s="73">
        <f>IF(OR($B6="",$B6=0),"",($K6*$C6*(1+'Property Summary'!$I$21)^(DS$13-1)))</f>
        <v>2304.1521795534427</v>
      </c>
      <c r="DT29" s="73">
        <f>IF(OR($B6="",$B6=0),"",($K6*$C6*(1+'Property Summary'!$I$21)^(DT$13-1)))</f>
        <v>2304.1521795534427</v>
      </c>
      <c r="DU29" s="73">
        <f>IF(OR($B6="",$B6=0),"",($K6*$C6*(1+'Property Summary'!$I$21)^(DU$13-1)))</f>
        <v>2304.1521795534427</v>
      </c>
      <c r="DV29" s="73">
        <f>IF(OR($B6="",$B6=0),"",($K6*$C6*(1+'Property Summary'!$I$21)^(DV$13-1)))</f>
        <v>2304.1521795534427</v>
      </c>
      <c r="DW29" s="73">
        <f>IF(OR($B6="",$B6=0),"",($K6*$C6*(1+'Property Summary'!$I$21)^(DW$13-1)))</f>
        <v>2304.1521795534427</v>
      </c>
      <c r="DX29" s="73">
        <f>IF(OR($B6="",$B6=0),"",($K6*$C6*(1+'Property Summary'!$I$21)^(DX$13-1)))</f>
        <v>2304.1521795534427</v>
      </c>
      <c r="DY29" s="73">
        <f>IF(OR($B6="",$B6=0),"",($K6*$C6*(1+'Property Summary'!$I$21)^(DY$13-1)))</f>
        <v>2304.1521795534427</v>
      </c>
      <c r="DZ29" s="73">
        <f>IF(OR($B6="",$B6=0),"",($K6*$C6*(1+'Property Summary'!$I$21)^(DZ$13-1)))</f>
        <v>2304.1521795534427</v>
      </c>
      <c r="EA29" s="73">
        <f>IF(OR($B6="",$B6=0),"",($K6*$C6*(1+'Property Summary'!$I$21)^(EA$13-1)))</f>
        <v>2304.1521795534427</v>
      </c>
      <c r="EB29" s="73">
        <f>IF(OR($B6="",$B6=0),"",($K6*$C6*(1+'Property Summary'!$I$21)^(EB$13-1)))</f>
        <v>2304.1521795534427</v>
      </c>
      <c r="EC29" s="73">
        <f>IF(OR($B6="",$B6=0),"",($K6*$C6*(1+'Property Summary'!$I$21)^(EC$13-1)))</f>
        <v>2304.1521795534427</v>
      </c>
      <c r="ED29" s="73">
        <f>IF(OR($B6="",$B6=0),"",($K6*$C6*(1+'Property Summary'!$I$21)^(ED$13-1)))</f>
        <v>2304.1521795534427</v>
      </c>
      <c r="EE29" s="73">
        <f>IF(OR($B6="",$B6=0),"",($K6*$C6*(1+'Property Summary'!$I$21)^(EE$13-1)))</f>
        <v>2361.7559840422787</v>
      </c>
      <c r="EF29" s="73">
        <f>IF(OR($B6="",$B6=0),"",($K6*$C6*(1+'Property Summary'!$I$21)^(EF$13-1)))</f>
        <v>2361.7559840422787</v>
      </c>
      <c r="EG29" s="73">
        <f>IF(OR($B6="",$B6=0),"",($K6*$C6*(1+'Property Summary'!$I$21)^(EG$13-1)))</f>
        <v>2361.7559840422787</v>
      </c>
      <c r="EH29" s="73">
        <f>IF(OR($B6="",$B6=0),"",($K6*$C6*(1+'Property Summary'!$I$21)^(EH$13-1)))</f>
        <v>2361.7559840422787</v>
      </c>
      <c r="EI29" s="73">
        <f>IF(OR($B6="",$B6=0),"",($K6*$C6*(1+'Property Summary'!$I$21)^(EI$13-1)))</f>
        <v>2361.7559840422787</v>
      </c>
      <c r="EJ29" s="73">
        <f>IF(OR($B6="",$B6=0),"",($K6*$C6*(1+'Property Summary'!$I$21)^(EJ$13-1)))</f>
        <v>2361.7559840422787</v>
      </c>
      <c r="EK29" s="73">
        <f>IF(OR($B6="",$B6=0),"",($K6*$C6*(1+'Property Summary'!$I$21)^(EK$13-1)))</f>
        <v>2361.7559840422787</v>
      </c>
      <c r="EL29" s="73">
        <f>IF(OR($B6="",$B6=0),"",($K6*$C6*(1+'Property Summary'!$I$21)^(EL$13-1)))</f>
        <v>2361.7559840422787</v>
      </c>
      <c r="EM29" s="73">
        <f>IF(OR($B6="",$B6=0),"",($K6*$C6*(1+'Property Summary'!$I$21)^(EM$13-1)))</f>
        <v>2361.7559840422787</v>
      </c>
      <c r="EN29" s="73">
        <f>IF(OR($B6="",$B6=0),"",($K6*$C6*(1+'Property Summary'!$I$21)^(EN$13-1)))</f>
        <v>2361.7559840422787</v>
      </c>
      <c r="EO29" s="73">
        <f>IF(OR($B6="",$B6=0),"",($K6*$C6*(1+'Property Summary'!$I$21)^(EO$13-1)))</f>
        <v>2361.7559840422787</v>
      </c>
      <c r="EP29" s="73">
        <f>IF(OR($B6="",$B6=0),"",($K6*$C6*(1+'Property Summary'!$I$21)^(EP$13-1)))</f>
        <v>2361.7559840422787</v>
      </c>
      <c r="EQ29" s="73">
        <f>IF(OR($B6="",$B6=0),"",($K6*$C6*(1+'Property Summary'!$I$21)^(EQ$13-1)))</f>
        <v>2420.7998836433358</v>
      </c>
      <c r="ER29" s="73">
        <f>IF(OR($B6="",$B6=0),"",($K6*$C6*(1+'Property Summary'!$I$21)^(ER$13-1)))</f>
        <v>2420.7998836433358</v>
      </c>
      <c r="ES29" s="73">
        <f>IF(OR($B6="",$B6=0),"",($K6*$C6*(1+'Property Summary'!$I$21)^(ES$13-1)))</f>
        <v>2420.7998836433358</v>
      </c>
      <c r="ET29" s="73">
        <f>IF(OR($B6="",$B6=0),"",($K6*$C6*(1+'Property Summary'!$I$21)^(ET$13-1)))</f>
        <v>2420.7998836433358</v>
      </c>
      <c r="EU29" s="73">
        <f>IF(OR($B6="",$B6=0),"",($K6*$C6*(1+'Property Summary'!$I$21)^(EU$13-1)))</f>
        <v>2420.7998836433358</v>
      </c>
      <c r="EV29" s="73">
        <f>IF(OR($B6="",$B6=0),"",($K6*$C6*(1+'Property Summary'!$I$21)^(EV$13-1)))</f>
        <v>2420.7998836433358</v>
      </c>
      <c r="EW29" s="73">
        <f>IF(OR($B6="",$B6=0),"",($K6*$C6*(1+'Property Summary'!$I$21)^(EW$13-1)))</f>
        <v>2420.7998836433358</v>
      </c>
      <c r="EX29" s="73">
        <f>IF(OR($B6="",$B6=0),"",($K6*$C6*(1+'Property Summary'!$I$21)^(EX$13-1)))</f>
        <v>2420.7998836433358</v>
      </c>
      <c r="EY29" s="73">
        <f>IF(OR($B6="",$B6=0),"",($K6*$C6*(1+'Property Summary'!$I$21)^(EY$13-1)))</f>
        <v>2420.7998836433358</v>
      </c>
      <c r="EZ29" s="73">
        <f>IF(OR($B6="",$B6=0),"",($K6*$C6*(1+'Property Summary'!$I$21)^(EZ$13-1)))</f>
        <v>2420.7998836433358</v>
      </c>
      <c r="FA29" s="73">
        <f>IF(OR($B6="",$B6=0),"",($K6*$C6*(1+'Property Summary'!$I$21)^(FA$13-1)))</f>
        <v>2420.7998836433358</v>
      </c>
      <c r="FB29" s="73">
        <f>IF(OR($B6="",$B6=0),"",($K6*$C6*(1+'Property Summary'!$I$21)^(FB$13-1)))</f>
        <v>2420.7998836433358</v>
      </c>
      <c r="FC29" s="73">
        <f>IF(OR($B6="",$B6=0),"",($K6*$C6*(1+'Property Summary'!$I$21)^(FC$13-1)))</f>
        <v>2481.3198807344188</v>
      </c>
      <c r="FD29" s="73">
        <f>IF(OR($B6="",$B6=0),"",($K6*$C6*(1+'Property Summary'!$I$21)^(FD$13-1)))</f>
        <v>2481.3198807344188</v>
      </c>
      <c r="FE29" s="73">
        <f>IF(OR($B6="",$B6=0),"",($K6*$C6*(1+'Property Summary'!$I$21)^(FE$13-1)))</f>
        <v>2481.3198807344188</v>
      </c>
      <c r="FF29" s="73">
        <f>IF(OR($B6="",$B6=0),"",($K6*$C6*(1+'Property Summary'!$I$21)^(FF$13-1)))</f>
        <v>2481.3198807344188</v>
      </c>
      <c r="FG29" s="73">
        <f>IF(OR($B6="",$B6=0),"",($K6*$C6*(1+'Property Summary'!$I$21)^(FG$13-1)))</f>
        <v>2481.3198807344188</v>
      </c>
      <c r="FH29" s="73">
        <f>IF(OR($B6="",$B6=0),"",($K6*$C6*(1+'Property Summary'!$I$21)^(FH$13-1)))</f>
        <v>2481.3198807344188</v>
      </c>
      <c r="FI29" s="73">
        <f>IF(OR($B6="",$B6=0),"",($K6*$C6*(1+'Property Summary'!$I$21)^(FI$13-1)))</f>
        <v>2481.3198807344188</v>
      </c>
      <c r="FJ29" s="73">
        <f>IF(OR($B6="",$B6=0),"",($K6*$C6*(1+'Property Summary'!$I$21)^(FJ$13-1)))</f>
        <v>2481.3198807344188</v>
      </c>
      <c r="FK29" s="73">
        <f>IF(OR($B6="",$B6=0),"",($K6*$C6*(1+'Property Summary'!$I$21)^(FK$13-1)))</f>
        <v>2481.3198807344188</v>
      </c>
      <c r="FL29" s="73">
        <f>IF(OR($B6="",$B6=0),"",($K6*$C6*(1+'Property Summary'!$I$21)^(FL$13-1)))</f>
        <v>2481.3198807344188</v>
      </c>
      <c r="FM29" s="73">
        <f>IF(OR($B6="",$B6=0),"",($K6*$C6*(1+'Property Summary'!$I$21)^(FM$13-1)))</f>
        <v>2481.3198807344188</v>
      </c>
      <c r="FN29" s="73">
        <f>IF(OR($B6="",$B6=0),"",($K6*$C6*(1+'Property Summary'!$I$21)^(FN$13-1)))</f>
        <v>2481.3198807344188</v>
      </c>
      <c r="FO29" s="73">
        <f>IF(OR($B6="",$B6=0),"",($K6*$C6*(1+'Property Summary'!$I$21)^(FO$13-1)))</f>
        <v>2543.352877752779</v>
      </c>
      <c r="FP29" s="73">
        <f>IF(OR($B6="",$B6=0),"",($K6*$C6*(1+'Property Summary'!$I$21)^(FP$13-1)))</f>
        <v>2543.352877752779</v>
      </c>
      <c r="FQ29" s="73">
        <f>IF(OR($B6="",$B6=0),"",($K6*$C6*(1+'Property Summary'!$I$21)^(FQ$13-1)))</f>
        <v>2543.352877752779</v>
      </c>
      <c r="FR29" s="73">
        <f>IF(OR($B6="",$B6=0),"",($K6*$C6*(1+'Property Summary'!$I$21)^(FR$13-1)))</f>
        <v>2543.352877752779</v>
      </c>
      <c r="FS29" s="73">
        <f>IF(OR($B6="",$B6=0),"",($K6*$C6*(1+'Property Summary'!$I$21)^(FS$13-1)))</f>
        <v>2543.352877752779</v>
      </c>
      <c r="FT29" s="73">
        <f>IF(OR($B6="",$B6=0),"",($K6*$C6*(1+'Property Summary'!$I$21)^(FT$13-1)))</f>
        <v>2543.352877752779</v>
      </c>
      <c r="FU29" s="73">
        <f>IF(OR($B6="",$B6=0),"",($K6*$C6*(1+'Property Summary'!$I$21)^(FU$13-1)))</f>
        <v>2543.352877752779</v>
      </c>
      <c r="FV29" s="73">
        <f>IF(OR($B6="",$B6=0),"",($K6*$C6*(1+'Property Summary'!$I$21)^(FV$13-1)))</f>
        <v>2543.352877752779</v>
      </c>
      <c r="FW29" s="73">
        <f>IF(OR($B6="",$B6=0),"",($K6*$C6*(1+'Property Summary'!$I$21)^(FW$13-1)))</f>
        <v>2543.352877752779</v>
      </c>
      <c r="FX29" s="73">
        <f>IF(OR($B6="",$B6=0),"",($K6*$C6*(1+'Property Summary'!$I$21)^(FX$13-1)))</f>
        <v>2543.352877752779</v>
      </c>
      <c r="FY29" s="73">
        <f>IF(OR($B6="",$B6=0),"",($K6*$C6*(1+'Property Summary'!$I$21)^(FY$13-1)))</f>
        <v>2543.352877752779</v>
      </c>
      <c r="FZ29" s="86">
        <f>IF(OR($B6="",$B6=0),"",($K6*$C6*(1+'Property Summary'!$I$21)^(FZ$13-1)))</f>
        <v>2543.352877752779</v>
      </c>
    </row>
    <row r="30" spans="2:182" x14ac:dyDescent="0.2">
      <c r="B30" s="85"/>
      <c r="C30" s="73">
        <f>IF(OR($B7="",$B7=0),"",($K7*$C7*(1+'Property Summary'!$I$21)^(C$13-1)))</f>
        <v>2400</v>
      </c>
      <c r="D30" s="73">
        <f>IF(OR($B7="",$B7=0),"",($K7*$C7*(1+'Property Summary'!$I$21)^(D$13-1)))</f>
        <v>2400</v>
      </c>
      <c r="E30" s="73">
        <f>IF(OR($B7="",$B7=0),"",($K7*$C7*(1+'Property Summary'!$I$21)^(E$13-1)))</f>
        <v>2400</v>
      </c>
      <c r="F30" s="73">
        <f>IF(OR($B7="",$B7=0),"",($K7*$C7*(1+'Property Summary'!$I$21)^(F$13-1)))</f>
        <v>2400</v>
      </c>
      <c r="G30" s="73">
        <f>IF(OR($B7="",$B7=0),"",($K7*$C7*(1+'Property Summary'!$I$21)^(G$13-1)))</f>
        <v>2400</v>
      </c>
      <c r="H30" s="73">
        <f>IF(OR($B7="",$B7=0),"",($K7*$C7*(1+'Property Summary'!$I$21)^(H$13-1)))</f>
        <v>2400</v>
      </c>
      <c r="I30" s="73">
        <f>IF(OR($B7="",$B7=0),"",($K7*$C7*(1+'Property Summary'!$I$21)^(I$13-1)))</f>
        <v>2400</v>
      </c>
      <c r="J30" s="73">
        <f>IF(OR($B7="",$B7=0),"",($K7*$C7*(1+'Property Summary'!$I$21)^(J$13-1)))</f>
        <v>2400</v>
      </c>
      <c r="K30" s="73">
        <f>IF(OR($B7="",$B7=0),"",($K7*$C7*(1+'Property Summary'!$I$21)^(K$13-1)))</f>
        <v>2400</v>
      </c>
      <c r="L30" s="73">
        <f>IF(OR($B7="",$B7=0),"",($K7*$C7*(1+'Property Summary'!$I$21)^(L$13-1)))</f>
        <v>2400</v>
      </c>
      <c r="M30" s="73">
        <f>IF(OR($B7="",$B7=0),"",($K7*$C7*(1+'Property Summary'!$I$21)^(M$13-1)))</f>
        <v>2400</v>
      </c>
      <c r="N30" s="73">
        <f>IF(OR($B7="",$B7=0),"",($K7*$C7*(1+'Property Summary'!$I$21)^(N$13-1)))</f>
        <v>2400</v>
      </c>
      <c r="O30" s="73">
        <f>IF(OR($B7="",$B7=0),"",($K7*$C7*(1+'Property Summary'!$I$21)^(O$13-1)))</f>
        <v>2460</v>
      </c>
      <c r="P30" s="73">
        <f>IF(OR($B7="",$B7=0),"",($K7*$C7*(1+'Property Summary'!$I$21)^(P$13-1)))</f>
        <v>2460</v>
      </c>
      <c r="Q30" s="73">
        <f>IF(OR($B7="",$B7=0),"",($K7*$C7*(1+'Property Summary'!$I$21)^(Q$13-1)))</f>
        <v>2460</v>
      </c>
      <c r="R30" s="73">
        <f>IF(OR($B7="",$B7=0),"",($K7*$C7*(1+'Property Summary'!$I$21)^(R$13-1)))</f>
        <v>2460</v>
      </c>
      <c r="S30" s="73">
        <f>IF(OR($B7="",$B7=0),"",($K7*$C7*(1+'Property Summary'!$I$21)^(S$13-1)))</f>
        <v>2460</v>
      </c>
      <c r="T30" s="73">
        <f>IF(OR($B7="",$B7=0),"",($K7*$C7*(1+'Property Summary'!$I$21)^(T$13-1)))</f>
        <v>2460</v>
      </c>
      <c r="U30" s="73">
        <f>IF(OR($B7="",$B7=0),"",($K7*$C7*(1+'Property Summary'!$I$21)^(U$13-1)))</f>
        <v>2460</v>
      </c>
      <c r="V30" s="73">
        <f>IF(OR($B7="",$B7=0),"",($K7*$C7*(1+'Property Summary'!$I$21)^(V$13-1)))</f>
        <v>2460</v>
      </c>
      <c r="W30" s="73">
        <f>IF(OR($B7="",$B7=0),"",($K7*$C7*(1+'Property Summary'!$I$21)^(W$13-1)))</f>
        <v>2460</v>
      </c>
      <c r="X30" s="73">
        <f>IF(OR($B7="",$B7=0),"",($K7*$C7*(1+'Property Summary'!$I$21)^(X$13-1)))</f>
        <v>2460</v>
      </c>
      <c r="Y30" s="73">
        <f>IF(OR($B7="",$B7=0),"",($K7*$C7*(1+'Property Summary'!$I$21)^(Y$13-1)))</f>
        <v>2460</v>
      </c>
      <c r="Z30" s="73">
        <f>IF(OR($B7="",$B7=0),"",($K7*$C7*(1+'Property Summary'!$I$21)^(Z$13-1)))</f>
        <v>2460</v>
      </c>
      <c r="AA30" s="73">
        <f>IF(OR($B7="",$B7=0),"",($K7*$C7*(1+'Property Summary'!$I$21)^(AA$13-1)))</f>
        <v>2521.5</v>
      </c>
      <c r="AB30" s="73">
        <f>IF(OR($B7="",$B7=0),"",($K7*$C7*(1+'Property Summary'!$I$21)^(AB$13-1)))</f>
        <v>2521.5</v>
      </c>
      <c r="AC30" s="73">
        <f>IF(OR($B7="",$B7=0),"",($K7*$C7*(1+'Property Summary'!$I$21)^(AC$13-1)))</f>
        <v>2521.5</v>
      </c>
      <c r="AD30" s="73">
        <f>IF(OR($B7="",$B7=0),"",($K7*$C7*(1+'Property Summary'!$I$21)^(AD$13-1)))</f>
        <v>2521.5</v>
      </c>
      <c r="AE30" s="73">
        <f>IF(OR($B7="",$B7=0),"",($K7*$C7*(1+'Property Summary'!$I$21)^(AE$13-1)))</f>
        <v>2521.5</v>
      </c>
      <c r="AF30" s="73">
        <f>IF(OR($B7="",$B7=0),"",($K7*$C7*(1+'Property Summary'!$I$21)^(AF$13-1)))</f>
        <v>2521.5</v>
      </c>
      <c r="AG30" s="73">
        <f>IF(OR($B7="",$B7=0),"",($K7*$C7*(1+'Property Summary'!$I$21)^(AG$13-1)))</f>
        <v>2521.5</v>
      </c>
      <c r="AH30" s="73">
        <f>IF(OR($B7="",$B7=0),"",($K7*$C7*(1+'Property Summary'!$I$21)^(AH$13-1)))</f>
        <v>2521.5</v>
      </c>
      <c r="AI30" s="73">
        <f>IF(OR($B7="",$B7=0),"",($K7*$C7*(1+'Property Summary'!$I$21)^(AI$13-1)))</f>
        <v>2521.5</v>
      </c>
      <c r="AJ30" s="73">
        <f>IF(OR($B7="",$B7=0),"",($K7*$C7*(1+'Property Summary'!$I$21)^(AJ$13-1)))</f>
        <v>2521.5</v>
      </c>
      <c r="AK30" s="73">
        <f>IF(OR($B7="",$B7=0),"",($K7*$C7*(1+'Property Summary'!$I$21)^(AK$13-1)))</f>
        <v>2521.5</v>
      </c>
      <c r="AL30" s="73">
        <f>IF(OR($B7="",$B7=0),"",($K7*$C7*(1+'Property Summary'!$I$21)^(AL$13-1)))</f>
        <v>2521.5</v>
      </c>
      <c r="AM30" s="73">
        <f>IF(OR($B7="",$B7=0),"",($K7*$C7*(1+'Property Summary'!$I$21)^(AM$13-1)))</f>
        <v>2584.5374999999999</v>
      </c>
      <c r="AN30" s="73">
        <f>IF(OR($B7="",$B7=0),"",($K7*$C7*(1+'Property Summary'!$I$21)^(AN$13-1)))</f>
        <v>2584.5374999999999</v>
      </c>
      <c r="AO30" s="73">
        <f>IF(OR($B7="",$B7=0),"",($K7*$C7*(1+'Property Summary'!$I$21)^(AO$13-1)))</f>
        <v>2584.5374999999999</v>
      </c>
      <c r="AP30" s="73">
        <f>IF(OR($B7="",$B7=0),"",($K7*$C7*(1+'Property Summary'!$I$21)^(AP$13-1)))</f>
        <v>2584.5374999999999</v>
      </c>
      <c r="AQ30" s="73">
        <f>IF(OR($B7="",$B7=0),"",($K7*$C7*(1+'Property Summary'!$I$21)^(AQ$13-1)))</f>
        <v>2584.5374999999999</v>
      </c>
      <c r="AR30" s="73">
        <f>IF(OR($B7="",$B7=0),"",($K7*$C7*(1+'Property Summary'!$I$21)^(AR$13-1)))</f>
        <v>2584.5374999999999</v>
      </c>
      <c r="AS30" s="73">
        <f>IF(OR($B7="",$B7=0),"",($K7*$C7*(1+'Property Summary'!$I$21)^(AS$13-1)))</f>
        <v>2584.5374999999999</v>
      </c>
      <c r="AT30" s="73">
        <f>IF(OR($B7="",$B7=0),"",($K7*$C7*(1+'Property Summary'!$I$21)^(AT$13-1)))</f>
        <v>2584.5374999999999</v>
      </c>
      <c r="AU30" s="73">
        <f>IF(OR($B7="",$B7=0),"",($K7*$C7*(1+'Property Summary'!$I$21)^(AU$13-1)))</f>
        <v>2584.5374999999999</v>
      </c>
      <c r="AV30" s="73">
        <f>IF(OR($B7="",$B7=0),"",($K7*$C7*(1+'Property Summary'!$I$21)^(AV$13-1)))</f>
        <v>2584.5374999999999</v>
      </c>
      <c r="AW30" s="73">
        <f>IF(OR($B7="",$B7=0),"",($K7*$C7*(1+'Property Summary'!$I$21)^(AW$13-1)))</f>
        <v>2584.5374999999999</v>
      </c>
      <c r="AX30" s="73">
        <f>IF(OR($B7="",$B7=0),"",($K7*$C7*(1+'Property Summary'!$I$21)^(AX$13-1)))</f>
        <v>2584.5374999999999</v>
      </c>
      <c r="AY30" s="73">
        <f>IF(OR($B7="",$B7=0),"",($K7*$C7*(1+'Property Summary'!$I$21)^(AY$13-1)))</f>
        <v>2649.1509374999996</v>
      </c>
      <c r="AZ30" s="73">
        <f>IF(OR($B7="",$B7=0),"",($K7*$C7*(1+'Property Summary'!$I$21)^(AZ$13-1)))</f>
        <v>2649.1509374999996</v>
      </c>
      <c r="BA30" s="73">
        <f>IF(OR($B7="",$B7=0),"",($K7*$C7*(1+'Property Summary'!$I$21)^(BA$13-1)))</f>
        <v>2649.1509374999996</v>
      </c>
      <c r="BB30" s="73">
        <f>IF(OR($B7="",$B7=0),"",($K7*$C7*(1+'Property Summary'!$I$21)^(BB$13-1)))</f>
        <v>2649.1509374999996</v>
      </c>
      <c r="BC30" s="73">
        <f>IF(OR($B7="",$B7=0),"",($K7*$C7*(1+'Property Summary'!$I$21)^(BC$13-1)))</f>
        <v>2649.1509374999996</v>
      </c>
      <c r="BD30" s="73">
        <f>IF(OR($B7="",$B7=0),"",($K7*$C7*(1+'Property Summary'!$I$21)^(BD$13-1)))</f>
        <v>2649.1509374999996</v>
      </c>
      <c r="BE30" s="73">
        <f>IF(OR($B7="",$B7=0),"",($K7*$C7*(1+'Property Summary'!$I$21)^(BE$13-1)))</f>
        <v>2649.1509374999996</v>
      </c>
      <c r="BF30" s="73">
        <f>IF(OR($B7="",$B7=0),"",($K7*$C7*(1+'Property Summary'!$I$21)^(BF$13-1)))</f>
        <v>2649.1509374999996</v>
      </c>
      <c r="BG30" s="73">
        <f>IF(OR($B7="",$B7=0),"",($K7*$C7*(1+'Property Summary'!$I$21)^(BG$13-1)))</f>
        <v>2649.1509374999996</v>
      </c>
      <c r="BH30" s="73">
        <f>IF(OR($B7="",$B7=0),"",($K7*$C7*(1+'Property Summary'!$I$21)^(BH$13-1)))</f>
        <v>2649.1509374999996</v>
      </c>
      <c r="BI30" s="73">
        <f>IF(OR($B7="",$B7=0),"",($K7*$C7*(1+'Property Summary'!$I$21)^(BI$13-1)))</f>
        <v>2649.1509374999996</v>
      </c>
      <c r="BJ30" s="73">
        <f>IF(OR($B7="",$B7=0),"",($K7*$C7*(1+'Property Summary'!$I$21)^(BJ$13-1)))</f>
        <v>2649.1509374999996</v>
      </c>
      <c r="BK30" s="73">
        <f>IF(OR($B7="",$B7=0),"",($K7*$C7*(1+'Property Summary'!$I$21)^(BK$13-1)))</f>
        <v>2715.3797109374991</v>
      </c>
      <c r="BL30" s="73">
        <f>IF(OR($B7="",$B7=0),"",($K7*$C7*(1+'Property Summary'!$I$21)^(BL$13-1)))</f>
        <v>2715.3797109374991</v>
      </c>
      <c r="BM30" s="73">
        <f>IF(OR($B7="",$B7=0),"",($K7*$C7*(1+'Property Summary'!$I$21)^(BM$13-1)))</f>
        <v>2715.3797109374991</v>
      </c>
      <c r="BN30" s="73">
        <f>IF(OR($B7="",$B7=0),"",($K7*$C7*(1+'Property Summary'!$I$21)^(BN$13-1)))</f>
        <v>2715.3797109374991</v>
      </c>
      <c r="BO30" s="73">
        <f>IF(OR($B7="",$B7=0),"",($K7*$C7*(1+'Property Summary'!$I$21)^(BO$13-1)))</f>
        <v>2715.3797109374991</v>
      </c>
      <c r="BP30" s="73">
        <f>IF(OR($B7="",$B7=0),"",($K7*$C7*(1+'Property Summary'!$I$21)^(BP$13-1)))</f>
        <v>2715.3797109374991</v>
      </c>
      <c r="BQ30" s="73">
        <f>IF(OR($B7="",$B7=0),"",($K7*$C7*(1+'Property Summary'!$I$21)^(BQ$13-1)))</f>
        <v>2715.3797109374991</v>
      </c>
      <c r="BR30" s="73">
        <f>IF(OR($B7="",$B7=0),"",($K7*$C7*(1+'Property Summary'!$I$21)^(BR$13-1)))</f>
        <v>2715.3797109374991</v>
      </c>
      <c r="BS30" s="73">
        <f>IF(OR($B7="",$B7=0),"",($K7*$C7*(1+'Property Summary'!$I$21)^(BS$13-1)))</f>
        <v>2715.3797109374991</v>
      </c>
      <c r="BT30" s="73">
        <f>IF(OR($B7="",$B7=0),"",($K7*$C7*(1+'Property Summary'!$I$21)^(BT$13-1)))</f>
        <v>2715.3797109374991</v>
      </c>
      <c r="BU30" s="73">
        <f>IF(OR($B7="",$B7=0),"",($K7*$C7*(1+'Property Summary'!$I$21)^(BU$13-1)))</f>
        <v>2715.3797109374991</v>
      </c>
      <c r="BV30" s="73">
        <f>IF(OR($B7="",$B7=0),"",($K7*$C7*(1+'Property Summary'!$I$21)^(BV$13-1)))</f>
        <v>2715.3797109374991</v>
      </c>
      <c r="BW30" s="73">
        <f>IF(OR($B7="",$B7=0),"",($K7*$C7*(1+'Property Summary'!$I$21)^(BW$13-1)))</f>
        <v>2783.2642037109363</v>
      </c>
      <c r="BX30" s="73">
        <f>IF(OR($B7="",$B7=0),"",($K7*$C7*(1+'Property Summary'!$I$21)^(BX$13-1)))</f>
        <v>2783.2642037109363</v>
      </c>
      <c r="BY30" s="73">
        <f>IF(OR($B7="",$B7=0),"",($K7*$C7*(1+'Property Summary'!$I$21)^(BY$13-1)))</f>
        <v>2783.2642037109363</v>
      </c>
      <c r="BZ30" s="73">
        <f>IF(OR($B7="",$B7=0),"",($K7*$C7*(1+'Property Summary'!$I$21)^(BZ$13-1)))</f>
        <v>2783.2642037109363</v>
      </c>
      <c r="CA30" s="73">
        <f>IF(OR($B7="",$B7=0),"",($K7*$C7*(1+'Property Summary'!$I$21)^(CA$13-1)))</f>
        <v>2783.2642037109363</v>
      </c>
      <c r="CB30" s="73">
        <f>IF(OR($B7="",$B7=0),"",($K7*$C7*(1+'Property Summary'!$I$21)^(CB$13-1)))</f>
        <v>2783.2642037109363</v>
      </c>
      <c r="CC30" s="73">
        <f>IF(OR($B7="",$B7=0),"",($K7*$C7*(1+'Property Summary'!$I$21)^(CC$13-1)))</f>
        <v>2783.2642037109363</v>
      </c>
      <c r="CD30" s="73">
        <f>IF(OR($B7="",$B7=0),"",($K7*$C7*(1+'Property Summary'!$I$21)^(CD$13-1)))</f>
        <v>2783.2642037109363</v>
      </c>
      <c r="CE30" s="73">
        <f>IF(OR($B7="",$B7=0),"",($K7*$C7*(1+'Property Summary'!$I$21)^(CE$13-1)))</f>
        <v>2783.2642037109363</v>
      </c>
      <c r="CF30" s="73">
        <f>IF(OR($B7="",$B7=0),"",($K7*$C7*(1+'Property Summary'!$I$21)^(CF$13-1)))</f>
        <v>2783.2642037109363</v>
      </c>
      <c r="CG30" s="73">
        <f>IF(OR($B7="",$B7=0),"",($K7*$C7*(1+'Property Summary'!$I$21)^(CG$13-1)))</f>
        <v>2783.2642037109363</v>
      </c>
      <c r="CH30" s="73">
        <f>IF(OR($B7="",$B7=0),"",($K7*$C7*(1+'Property Summary'!$I$21)^(CH$13-1)))</f>
        <v>2783.2642037109363</v>
      </c>
      <c r="CI30" s="73">
        <f>IF(OR($B7="",$B7=0),"",($K7*$C7*(1+'Property Summary'!$I$21)^(CI$13-1)))</f>
        <v>2852.84580880371</v>
      </c>
      <c r="CJ30" s="73">
        <f>IF(OR($B7="",$B7=0),"",($K7*$C7*(1+'Property Summary'!$I$21)^(CJ$13-1)))</f>
        <v>2852.84580880371</v>
      </c>
      <c r="CK30" s="73">
        <f>IF(OR($B7="",$B7=0),"",($K7*$C7*(1+'Property Summary'!$I$21)^(CK$13-1)))</f>
        <v>2852.84580880371</v>
      </c>
      <c r="CL30" s="73">
        <f>IF(OR($B7="",$B7=0),"",($K7*$C7*(1+'Property Summary'!$I$21)^(CL$13-1)))</f>
        <v>2852.84580880371</v>
      </c>
      <c r="CM30" s="73">
        <f>IF(OR($B7="",$B7=0),"",($K7*$C7*(1+'Property Summary'!$I$21)^(CM$13-1)))</f>
        <v>2852.84580880371</v>
      </c>
      <c r="CN30" s="73">
        <f>IF(OR($B7="",$B7=0),"",($K7*$C7*(1+'Property Summary'!$I$21)^(CN$13-1)))</f>
        <v>2852.84580880371</v>
      </c>
      <c r="CO30" s="73">
        <f>IF(OR($B7="",$B7=0),"",($K7*$C7*(1+'Property Summary'!$I$21)^(CO$13-1)))</f>
        <v>2852.84580880371</v>
      </c>
      <c r="CP30" s="73">
        <f>IF(OR($B7="",$B7=0),"",($K7*$C7*(1+'Property Summary'!$I$21)^(CP$13-1)))</f>
        <v>2852.84580880371</v>
      </c>
      <c r="CQ30" s="73">
        <f>IF(OR($B7="",$B7=0),"",($K7*$C7*(1+'Property Summary'!$I$21)^(CQ$13-1)))</f>
        <v>2852.84580880371</v>
      </c>
      <c r="CR30" s="73">
        <f>IF(OR($B7="",$B7=0),"",($K7*$C7*(1+'Property Summary'!$I$21)^(CR$13-1)))</f>
        <v>2852.84580880371</v>
      </c>
      <c r="CS30" s="73">
        <f>IF(OR($B7="",$B7=0),"",($K7*$C7*(1+'Property Summary'!$I$21)^(CS$13-1)))</f>
        <v>2852.84580880371</v>
      </c>
      <c r="CT30" s="73">
        <f>IF(OR($B7="",$B7=0),"",($K7*$C7*(1+'Property Summary'!$I$21)^(CT$13-1)))</f>
        <v>2852.84580880371</v>
      </c>
      <c r="CU30" s="73">
        <f>IF(OR($B7="",$B7=0),"",($K7*$C7*(1+'Property Summary'!$I$21)^(CU$13-1)))</f>
        <v>2924.1669540238026</v>
      </c>
      <c r="CV30" s="73">
        <f>IF(OR($B7="",$B7=0),"",($K7*$C7*(1+'Property Summary'!$I$21)^(CV$13-1)))</f>
        <v>2924.1669540238026</v>
      </c>
      <c r="CW30" s="73">
        <f>IF(OR($B7="",$B7=0),"",($K7*$C7*(1+'Property Summary'!$I$21)^(CW$13-1)))</f>
        <v>2924.1669540238026</v>
      </c>
      <c r="CX30" s="73">
        <f>IF(OR($B7="",$B7=0),"",($K7*$C7*(1+'Property Summary'!$I$21)^(CX$13-1)))</f>
        <v>2924.1669540238026</v>
      </c>
      <c r="CY30" s="73">
        <f>IF(OR($B7="",$B7=0),"",($K7*$C7*(1+'Property Summary'!$I$21)^(CY$13-1)))</f>
        <v>2924.1669540238026</v>
      </c>
      <c r="CZ30" s="73">
        <f>IF(OR($B7="",$B7=0),"",($K7*$C7*(1+'Property Summary'!$I$21)^(CZ$13-1)))</f>
        <v>2924.1669540238026</v>
      </c>
      <c r="DA30" s="73">
        <f>IF(OR($B7="",$B7=0),"",($K7*$C7*(1+'Property Summary'!$I$21)^(DA$13-1)))</f>
        <v>2924.1669540238026</v>
      </c>
      <c r="DB30" s="73">
        <f>IF(OR($B7="",$B7=0),"",($K7*$C7*(1+'Property Summary'!$I$21)^(DB$13-1)))</f>
        <v>2924.1669540238026</v>
      </c>
      <c r="DC30" s="73">
        <f>IF(OR($B7="",$B7=0),"",($K7*$C7*(1+'Property Summary'!$I$21)^(DC$13-1)))</f>
        <v>2924.1669540238026</v>
      </c>
      <c r="DD30" s="73">
        <f>IF(OR($B7="",$B7=0),"",($K7*$C7*(1+'Property Summary'!$I$21)^(DD$13-1)))</f>
        <v>2924.1669540238026</v>
      </c>
      <c r="DE30" s="73">
        <f>IF(OR($B7="",$B7=0),"",($K7*$C7*(1+'Property Summary'!$I$21)^(DE$13-1)))</f>
        <v>2924.1669540238026</v>
      </c>
      <c r="DF30" s="73">
        <f>IF(OR($B7="",$B7=0),"",($K7*$C7*(1+'Property Summary'!$I$21)^(DF$13-1)))</f>
        <v>2924.1669540238026</v>
      </c>
      <c r="DG30" s="73">
        <f>IF(OR($B7="",$B7=0),"",($K7*$C7*(1+'Property Summary'!$I$21)^(DG$13-1)))</f>
        <v>2997.2711278743968</v>
      </c>
      <c r="DH30" s="73">
        <f>IF(OR($B7="",$B7=0),"",($K7*$C7*(1+'Property Summary'!$I$21)^(DH$13-1)))</f>
        <v>2997.2711278743968</v>
      </c>
      <c r="DI30" s="73">
        <f>IF(OR($B7="",$B7=0),"",($K7*$C7*(1+'Property Summary'!$I$21)^(DI$13-1)))</f>
        <v>2997.2711278743968</v>
      </c>
      <c r="DJ30" s="73">
        <f>IF(OR($B7="",$B7=0),"",($K7*$C7*(1+'Property Summary'!$I$21)^(DJ$13-1)))</f>
        <v>2997.2711278743968</v>
      </c>
      <c r="DK30" s="73">
        <f>IF(OR($B7="",$B7=0),"",($K7*$C7*(1+'Property Summary'!$I$21)^(DK$13-1)))</f>
        <v>2997.2711278743968</v>
      </c>
      <c r="DL30" s="73">
        <f>IF(OR($B7="",$B7=0),"",($K7*$C7*(1+'Property Summary'!$I$21)^(DL$13-1)))</f>
        <v>2997.2711278743968</v>
      </c>
      <c r="DM30" s="73">
        <f>IF(OR($B7="",$B7=0),"",($K7*$C7*(1+'Property Summary'!$I$21)^(DM$13-1)))</f>
        <v>2997.2711278743968</v>
      </c>
      <c r="DN30" s="73">
        <f>IF(OR($B7="",$B7=0),"",($K7*$C7*(1+'Property Summary'!$I$21)^(DN$13-1)))</f>
        <v>2997.2711278743968</v>
      </c>
      <c r="DO30" s="73">
        <f>IF(OR($B7="",$B7=0),"",($K7*$C7*(1+'Property Summary'!$I$21)^(DO$13-1)))</f>
        <v>2997.2711278743968</v>
      </c>
      <c r="DP30" s="73">
        <f>IF(OR($B7="",$B7=0),"",($K7*$C7*(1+'Property Summary'!$I$21)^(DP$13-1)))</f>
        <v>2997.2711278743968</v>
      </c>
      <c r="DQ30" s="73">
        <f>IF(OR($B7="",$B7=0),"",($K7*$C7*(1+'Property Summary'!$I$21)^(DQ$13-1)))</f>
        <v>2997.2711278743968</v>
      </c>
      <c r="DR30" s="73">
        <f>IF(OR($B7="",$B7=0),"",($K7*$C7*(1+'Property Summary'!$I$21)^(DR$13-1)))</f>
        <v>2997.2711278743968</v>
      </c>
      <c r="DS30" s="73">
        <f>IF(OR($B7="",$B7=0),"",($K7*$C7*(1+'Property Summary'!$I$21)^(DS$13-1)))</f>
        <v>3072.2029060712571</v>
      </c>
      <c r="DT30" s="73">
        <f>IF(OR($B7="",$B7=0),"",($K7*$C7*(1+'Property Summary'!$I$21)^(DT$13-1)))</f>
        <v>3072.2029060712571</v>
      </c>
      <c r="DU30" s="73">
        <f>IF(OR($B7="",$B7=0),"",($K7*$C7*(1+'Property Summary'!$I$21)^(DU$13-1)))</f>
        <v>3072.2029060712571</v>
      </c>
      <c r="DV30" s="73">
        <f>IF(OR($B7="",$B7=0),"",($K7*$C7*(1+'Property Summary'!$I$21)^(DV$13-1)))</f>
        <v>3072.2029060712571</v>
      </c>
      <c r="DW30" s="73">
        <f>IF(OR($B7="",$B7=0),"",($K7*$C7*(1+'Property Summary'!$I$21)^(DW$13-1)))</f>
        <v>3072.2029060712571</v>
      </c>
      <c r="DX30" s="73">
        <f>IF(OR($B7="",$B7=0),"",($K7*$C7*(1+'Property Summary'!$I$21)^(DX$13-1)))</f>
        <v>3072.2029060712571</v>
      </c>
      <c r="DY30" s="73">
        <f>IF(OR($B7="",$B7=0),"",($K7*$C7*(1+'Property Summary'!$I$21)^(DY$13-1)))</f>
        <v>3072.2029060712571</v>
      </c>
      <c r="DZ30" s="73">
        <f>IF(OR($B7="",$B7=0),"",($K7*$C7*(1+'Property Summary'!$I$21)^(DZ$13-1)))</f>
        <v>3072.2029060712571</v>
      </c>
      <c r="EA30" s="73">
        <f>IF(OR($B7="",$B7=0),"",($K7*$C7*(1+'Property Summary'!$I$21)^(EA$13-1)))</f>
        <v>3072.2029060712571</v>
      </c>
      <c r="EB30" s="73">
        <f>IF(OR($B7="",$B7=0),"",($K7*$C7*(1+'Property Summary'!$I$21)^(EB$13-1)))</f>
        <v>3072.2029060712571</v>
      </c>
      <c r="EC30" s="73">
        <f>IF(OR($B7="",$B7=0),"",($K7*$C7*(1+'Property Summary'!$I$21)^(EC$13-1)))</f>
        <v>3072.2029060712571</v>
      </c>
      <c r="ED30" s="73">
        <f>IF(OR($B7="",$B7=0),"",($K7*$C7*(1+'Property Summary'!$I$21)^(ED$13-1)))</f>
        <v>3072.2029060712571</v>
      </c>
      <c r="EE30" s="73">
        <f>IF(OR($B7="",$B7=0),"",($K7*$C7*(1+'Property Summary'!$I$21)^(EE$13-1)))</f>
        <v>3149.0079787230384</v>
      </c>
      <c r="EF30" s="73">
        <f>IF(OR($B7="",$B7=0),"",($K7*$C7*(1+'Property Summary'!$I$21)^(EF$13-1)))</f>
        <v>3149.0079787230384</v>
      </c>
      <c r="EG30" s="73">
        <f>IF(OR($B7="",$B7=0),"",($K7*$C7*(1+'Property Summary'!$I$21)^(EG$13-1)))</f>
        <v>3149.0079787230384</v>
      </c>
      <c r="EH30" s="73">
        <f>IF(OR($B7="",$B7=0),"",($K7*$C7*(1+'Property Summary'!$I$21)^(EH$13-1)))</f>
        <v>3149.0079787230384</v>
      </c>
      <c r="EI30" s="73">
        <f>IF(OR($B7="",$B7=0),"",($K7*$C7*(1+'Property Summary'!$I$21)^(EI$13-1)))</f>
        <v>3149.0079787230384</v>
      </c>
      <c r="EJ30" s="73">
        <f>IF(OR($B7="",$B7=0),"",($K7*$C7*(1+'Property Summary'!$I$21)^(EJ$13-1)))</f>
        <v>3149.0079787230384</v>
      </c>
      <c r="EK30" s="73">
        <f>IF(OR($B7="",$B7=0),"",($K7*$C7*(1+'Property Summary'!$I$21)^(EK$13-1)))</f>
        <v>3149.0079787230384</v>
      </c>
      <c r="EL30" s="73">
        <f>IF(OR($B7="",$B7=0),"",($K7*$C7*(1+'Property Summary'!$I$21)^(EL$13-1)))</f>
        <v>3149.0079787230384</v>
      </c>
      <c r="EM30" s="73">
        <f>IF(OR($B7="",$B7=0),"",($K7*$C7*(1+'Property Summary'!$I$21)^(EM$13-1)))</f>
        <v>3149.0079787230384</v>
      </c>
      <c r="EN30" s="73">
        <f>IF(OR($B7="",$B7=0),"",($K7*$C7*(1+'Property Summary'!$I$21)^(EN$13-1)))</f>
        <v>3149.0079787230384</v>
      </c>
      <c r="EO30" s="73">
        <f>IF(OR($B7="",$B7=0),"",($K7*$C7*(1+'Property Summary'!$I$21)^(EO$13-1)))</f>
        <v>3149.0079787230384</v>
      </c>
      <c r="EP30" s="73">
        <f>IF(OR($B7="",$B7=0),"",($K7*$C7*(1+'Property Summary'!$I$21)^(EP$13-1)))</f>
        <v>3149.0079787230384</v>
      </c>
      <c r="EQ30" s="73">
        <f>IF(OR($B7="",$B7=0),"",($K7*$C7*(1+'Property Summary'!$I$21)^(EQ$13-1)))</f>
        <v>3227.7331781911139</v>
      </c>
      <c r="ER30" s="73">
        <f>IF(OR($B7="",$B7=0),"",($K7*$C7*(1+'Property Summary'!$I$21)^(ER$13-1)))</f>
        <v>3227.7331781911139</v>
      </c>
      <c r="ES30" s="73">
        <f>IF(OR($B7="",$B7=0),"",($K7*$C7*(1+'Property Summary'!$I$21)^(ES$13-1)))</f>
        <v>3227.7331781911139</v>
      </c>
      <c r="ET30" s="73">
        <f>IF(OR($B7="",$B7=0),"",($K7*$C7*(1+'Property Summary'!$I$21)^(ET$13-1)))</f>
        <v>3227.7331781911139</v>
      </c>
      <c r="EU30" s="73">
        <f>IF(OR($B7="",$B7=0),"",($K7*$C7*(1+'Property Summary'!$I$21)^(EU$13-1)))</f>
        <v>3227.7331781911139</v>
      </c>
      <c r="EV30" s="73">
        <f>IF(OR($B7="",$B7=0),"",($K7*$C7*(1+'Property Summary'!$I$21)^(EV$13-1)))</f>
        <v>3227.7331781911139</v>
      </c>
      <c r="EW30" s="73">
        <f>IF(OR($B7="",$B7=0),"",($K7*$C7*(1+'Property Summary'!$I$21)^(EW$13-1)))</f>
        <v>3227.7331781911139</v>
      </c>
      <c r="EX30" s="73">
        <f>IF(OR($B7="",$B7=0),"",($K7*$C7*(1+'Property Summary'!$I$21)^(EX$13-1)))</f>
        <v>3227.7331781911139</v>
      </c>
      <c r="EY30" s="73">
        <f>IF(OR($B7="",$B7=0),"",($K7*$C7*(1+'Property Summary'!$I$21)^(EY$13-1)))</f>
        <v>3227.7331781911139</v>
      </c>
      <c r="EZ30" s="73">
        <f>IF(OR($B7="",$B7=0),"",($K7*$C7*(1+'Property Summary'!$I$21)^(EZ$13-1)))</f>
        <v>3227.7331781911139</v>
      </c>
      <c r="FA30" s="73">
        <f>IF(OR($B7="",$B7=0),"",($K7*$C7*(1+'Property Summary'!$I$21)^(FA$13-1)))</f>
        <v>3227.7331781911139</v>
      </c>
      <c r="FB30" s="73">
        <f>IF(OR($B7="",$B7=0),"",($K7*$C7*(1+'Property Summary'!$I$21)^(FB$13-1)))</f>
        <v>3227.7331781911139</v>
      </c>
      <c r="FC30" s="73">
        <f>IF(OR($B7="",$B7=0),"",($K7*$C7*(1+'Property Summary'!$I$21)^(FC$13-1)))</f>
        <v>3308.4265076458919</v>
      </c>
      <c r="FD30" s="73">
        <f>IF(OR($B7="",$B7=0),"",($K7*$C7*(1+'Property Summary'!$I$21)^(FD$13-1)))</f>
        <v>3308.4265076458919</v>
      </c>
      <c r="FE30" s="73">
        <f>IF(OR($B7="",$B7=0),"",($K7*$C7*(1+'Property Summary'!$I$21)^(FE$13-1)))</f>
        <v>3308.4265076458919</v>
      </c>
      <c r="FF30" s="73">
        <f>IF(OR($B7="",$B7=0),"",($K7*$C7*(1+'Property Summary'!$I$21)^(FF$13-1)))</f>
        <v>3308.4265076458919</v>
      </c>
      <c r="FG30" s="73">
        <f>IF(OR($B7="",$B7=0),"",($K7*$C7*(1+'Property Summary'!$I$21)^(FG$13-1)))</f>
        <v>3308.4265076458919</v>
      </c>
      <c r="FH30" s="73">
        <f>IF(OR($B7="",$B7=0),"",($K7*$C7*(1+'Property Summary'!$I$21)^(FH$13-1)))</f>
        <v>3308.4265076458919</v>
      </c>
      <c r="FI30" s="73">
        <f>IF(OR($B7="",$B7=0),"",($K7*$C7*(1+'Property Summary'!$I$21)^(FI$13-1)))</f>
        <v>3308.4265076458919</v>
      </c>
      <c r="FJ30" s="73">
        <f>IF(OR($B7="",$B7=0),"",($K7*$C7*(1+'Property Summary'!$I$21)^(FJ$13-1)))</f>
        <v>3308.4265076458919</v>
      </c>
      <c r="FK30" s="73">
        <f>IF(OR($B7="",$B7=0),"",($K7*$C7*(1+'Property Summary'!$I$21)^(FK$13-1)))</f>
        <v>3308.4265076458919</v>
      </c>
      <c r="FL30" s="73">
        <f>IF(OR($B7="",$B7=0),"",($K7*$C7*(1+'Property Summary'!$I$21)^(FL$13-1)))</f>
        <v>3308.4265076458919</v>
      </c>
      <c r="FM30" s="73">
        <f>IF(OR($B7="",$B7=0),"",($K7*$C7*(1+'Property Summary'!$I$21)^(FM$13-1)))</f>
        <v>3308.4265076458919</v>
      </c>
      <c r="FN30" s="73">
        <f>IF(OR($B7="",$B7=0),"",($K7*$C7*(1+'Property Summary'!$I$21)^(FN$13-1)))</f>
        <v>3308.4265076458919</v>
      </c>
      <c r="FO30" s="73">
        <f>IF(OR($B7="",$B7=0),"",($K7*$C7*(1+'Property Summary'!$I$21)^(FO$13-1)))</f>
        <v>3391.1371703370387</v>
      </c>
      <c r="FP30" s="73">
        <f>IF(OR($B7="",$B7=0),"",($K7*$C7*(1+'Property Summary'!$I$21)^(FP$13-1)))</f>
        <v>3391.1371703370387</v>
      </c>
      <c r="FQ30" s="73">
        <f>IF(OR($B7="",$B7=0),"",($K7*$C7*(1+'Property Summary'!$I$21)^(FQ$13-1)))</f>
        <v>3391.1371703370387</v>
      </c>
      <c r="FR30" s="73">
        <f>IF(OR($B7="",$B7=0),"",($K7*$C7*(1+'Property Summary'!$I$21)^(FR$13-1)))</f>
        <v>3391.1371703370387</v>
      </c>
      <c r="FS30" s="73">
        <f>IF(OR($B7="",$B7=0),"",($K7*$C7*(1+'Property Summary'!$I$21)^(FS$13-1)))</f>
        <v>3391.1371703370387</v>
      </c>
      <c r="FT30" s="73">
        <f>IF(OR($B7="",$B7=0),"",($K7*$C7*(1+'Property Summary'!$I$21)^(FT$13-1)))</f>
        <v>3391.1371703370387</v>
      </c>
      <c r="FU30" s="73">
        <f>IF(OR($B7="",$B7=0),"",($K7*$C7*(1+'Property Summary'!$I$21)^(FU$13-1)))</f>
        <v>3391.1371703370387</v>
      </c>
      <c r="FV30" s="73">
        <f>IF(OR($B7="",$B7=0),"",($K7*$C7*(1+'Property Summary'!$I$21)^(FV$13-1)))</f>
        <v>3391.1371703370387</v>
      </c>
      <c r="FW30" s="73">
        <f>IF(OR($B7="",$B7=0),"",($K7*$C7*(1+'Property Summary'!$I$21)^(FW$13-1)))</f>
        <v>3391.1371703370387</v>
      </c>
      <c r="FX30" s="73">
        <f>IF(OR($B7="",$B7=0),"",($K7*$C7*(1+'Property Summary'!$I$21)^(FX$13-1)))</f>
        <v>3391.1371703370387</v>
      </c>
      <c r="FY30" s="73">
        <f>IF(OR($B7="",$B7=0),"",($K7*$C7*(1+'Property Summary'!$I$21)^(FY$13-1)))</f>
        <v>3391.1371703370387</v>
      </c>
      <c r="FZ30" s="86">
        <f>IF(OR($B7="",$B7=0),"",($K7*$C7*(1+'Property Summary'!$I$21)^(FZ$13-1)))</f>
        <v>3391.1371703370387</v>
      </c>
    </row>
    <row r="31" spans="2:182" x14ac:dyDescent="0.2">
      <c r="B31" s="85"/>
      <c r="C31" s="73">
        <f>IF(OR($B8="",$B8=0),"",($K8*$C8*(1+'Property Summary'!$I$21)^(C$13-1)))</f>
        <v>1280</v>
      </c>
      <c r="D31" s="73">
        <f>IF(OR($B8="",$B8=0),"",($K8*$C8*(1+'Property Summary'!$I$21)^(D$13-1)))</f>
        <v>1280</v>
      </c>
      <c r="E31" s="73">
        <f>IF(OR($B8="",$B8=0),"",($K8*$C8*(1+'Property Summary'!$I$21)^(E$13-1)))</f>
        <v>1280</v>
      </c>
      <c r="F31" s="73">
        <f>IF(OR($B8="",$B8=0),"",($K8*$C8*(1+'Property Summary'!$I$21)^(F$13-1)))</f>
        <v>1280</v>
      </c>
      <c r="G31" s="73">
        <f>IF(OR($B8="",$B8=0),"",($K8*$C8*(1+'Property Summary'!$I$21)^(G$13-1)))</f>
        <v>1280</v>
      </c>
      <c r="H31" s="73">
        <f>IF(OR($B8="",$B8=0),"",($K8*$C8*(1+'Property Summary'!$I$21)^(H$13-1)))</f>
        <v>1280</v>
      </c>
      <c r="I31" s="73">
        <f>IF(OR($B8="",$B8=0),"",($K8*$C8*(1+'Property Summary'!$I$21)^(I$13-1)))</f>
        <v>1280</v>
      </c>
      <c r="J31" s="73">
        <f>IF(OR($B8="",$B8=0),"",($K8*$C8*(1+'Property Summary'!$I$21)^(J$13-1)))</f>
        <v>1280</v>
      </c>
      <c r="K31" s="73">
        <f>IF(OR($B8="",$B8=0),"",($K8*$C8*(1+'Property Summary'!$I$21)^(K$13-1)))</f>
        <v>1280</v>
      </c>
      <c r="L31" s="73">
        <f>IF(OR($B8="",$B8=0),"",($K8*$C8*(1+'Property Summary'!$I$21)^(L$13-1)))</f>
        <v>1280</v>
      </c>
      <c r="M31" s="73">
        <f>IF(OR($B8="",$B8=0),"",($K8*$C8*(1+'Property Summary'!$I$21)^(M$13-1)))</f>
        <v>1280</v>
      </c>
      <c r="N31" s="73">
        <f>IF(OR($B8="",$B8=0),"",($K8*$C8*(1+'Property Summary'!$I$21)^(N$13-1)))</f>
        <v>1280</v>
      </c>
      <c r="O31" s="73">
        <f>IF(OR($B8="",$B8=0),"",($K8*$C8*(1+'Property Summary'!$I$21)^(O$13-1)))</f>
        <v>1312</v>
      </c>
      <c r="P31" s="73">
        <f>IF(OR($B8="",$B8=0),"",($K8*$C8*(1+'Property Summary'!$I$21)^(P$13-1)))</f>
        <v>1312</v>
      </c>
      <c r="Q31" s="73">
        <f>IF(OR($B8="",$B8=0),"",($K8*$C8*(1+'Property Summary'!$I$21)^(Q$13-1)))</f>
        <v>1312</v>
      </c>
      <c r="R31" s="73">
        <f>IF(OR($B8="",$B8=0),"",($K8*$C8*(1+'Property Summary'!$I$21)^(R$13-1)))</f>
        <v>1312</v>
      </c>
      <c r="S31" s="73">
        <f>IF(OR($B8="",$B8=0),"",($K8*$C8*(1+'Property Summary'!$I$21)^(S$13-1)))</f>
        <v>1312</v>
      </c>
      <c r="T31" s="73">
        <f>IF(OR($B8="",$B8=0),"",($K8*$C8*(1+'Property Summary'!$I$21)^(T$13-1)))</f>
        <v>1312</v>
      </c>
      <c r="U31" s="73">
        <f>IF(OR($B8="",$B8=0),"",($K8*$C8*(1+'Property Summary'!$I$21)^(U$13-1)))</f>
        <v>1312</v>
      </c>
      <c r="V31" s="73">
        <f>IF(OR($B8="",$B8=0),"",($K8*$C8*(1+'Property Summary'!$I$21)^(V$13-1)))</f>
        <v>1312</v>
      </c>
      <c r="W31" s="73">
        <f>IF(OR($B8="",$B8=0),"",($K8*$C8*(1+'Property Summary'!$I$21)^(W$13-1)))</f>
        <v>1312</v>
      </c>
      <c r="X31" s="73">
        <f>IF(OR($B8="",$B8=0),"",($K8*$C8*(1+'Property Summary'!$I$21)^(X$13-1)))</f>
        <v>1312</v>
      </c>
      <c r="Y31" s="73">
        <f>IF(OR($B8="",$B8=0),"",($K8*$C8*(1+'Property Summary'!$I$21)^(Y$13-1)))</f>
        <v>1312</v>
      </c>
      <c r="Z31" s="73">
        <f>IF(OR($B8="",$B8=0),"",($K8*$C8*(1+'Property Summary'!$I$21)^(Z$13-1)))</f>
        <v>1312</v>
      </c>
      <c r="AA31" s="73">
        <f>IF(OR($B8="",$B8=0),"",($K8*$C8*(1+'Property Summary'!$I$21)^(AA$13-1)))</f>
        <v>1344.8</v>
      </c>
      <c r="AB31" s="73">
        <f>IF(OR($B8="",$B8=0),"",($K8*$C8*(1+'Property Summary'!$I$21)^(AB$13-1)))</f>
        <v>1344.8</v>
      </c>
      <c r="AC31" s="73">
        <f>IF(OR($B8="",$B8=0),"",($K8*$C8*(1+'Property Summary'!$I$21)^(AC$13-1)))</f>
        <v>1344.8</v>
      </c>
      <c r="AD31" s="73">
        <f>IF(OR($B8="",$B8=0),"",($K8*$C8*(1+'Property Summary'!$I$21)^(AD$13-1)))</f>
        <v>1344.8</v>
      </c>
      <c r="AE31" s="73">
        <f>IF(OR($B8="",$B8=0),"",($K8*$C8*(1+'Property Summary'!$I$21)^(AE$13-1)))</f>
        <v>1344.8</v>
      </c>
      <c r="AF31" s="73">
        <f>IF(OR($B8="",$B8=0),"",($K8*$C8*(1+'Property Summary'!$I$21)^(AF$13-1)))</f>
        <v>1344.8</v>
      </c>
      <c r="AG31" s="73">
        <f>IF(OR($B8="",$B8=0),"",($K8*$C8*(1+'Property Summary'!$I$21)^(AG$13-1)))</f>
        <v>1344.8</v>
      </c>
      <c r="AH31" s="73">
        <f>IF(OR($B8="",$B8=0),"",($K8*$C8*(1+'Property Summary'!$I$21)^(AH$13-1)))</f>
        <v>1344.8</v>
      </c>
      <c r="AI31" s="73">
        <f>IF(OR($B8="",$B8=0),"",($K8*$C8*(1+'Property Summary'!$I$21)^(AI$13-1)))</f>
        <v>1344.8</v>
      </c>
      <c r="AJ31" s="73">
        <f>IF(OR($B8="",$B8=0),"",($K8*$C8*(1+'Property Summary'!$I$21)^(AJ$13-1)))</f>
        <v>1344.8</v>
      </c>
      <c r="AK31" s="73">
        <f>IF(OR($B8="",$B8=0),"",($K8*$C8*(1+'Property Summary'!$I$21)^(AK$13-1)))</f>
        <v>1344.8</v>
      </c>
      <c r="AL31" s="73">
        <f>IF(OR($B8="",$B8=0),"",($K8*$C8*(1+'Property Summary'!$I$21)^(AL$13-1)))</f>
        <v>1344.8</v>
      </c>
      <c r="AM31" s="73">
        <f>IF(OR($B8="",$B8=0),"",($K8*$C8*(1+'Property Summary'!$I$21)^(AM$13-1)))</f>
        <v>1378.4199999999998</v>
      </c>
      <c r="AN31" s="73">
        <f>IF(OR($B8="",$B8=0),"",($K8*$C8*(1+'Property Summary'!$I$21)^(AN$13-1)))</f>
        <v>1378.4199999999998</v>
      </c>
      <c r="AO31" s="73">
        <f>IF(OR($B8="",$B8=0),"",($K8*$C8*(1+'Property Summary'!$I$21)^(AO$13-1)))</f>
        <v>1378.4199999999998</v>
      </c>
      <c r="AP31" s="73">
        <f>IF(OR($B8="",$B8=0),"",($K8*$C8*(1+'Property Summary'!$I$21)^(AP$13-1)))</f>
        <v>1378.4199999999998</v>
      </c>
      <c r="AQ31" s="73">
        <f>IF(OR($B8="",$B8=0),"",($K8*$C8*(1+'Property Summary'!$I$21)^(AQ$13-1)))</f>
        <v>1378.4199999999998</v>
      </c>
      <c r="AR31" s="73">
        <f>IF(OR($B8="",$B8=0),"",($K8*$C8*(1+'Property Summary'!$I$21)^(AR$13-1)))</f>
        <v>1378.4199999999998</v>
      </c>
      <c r="AS31" s="73">
        <f>IF(OR($B8="",$B8=0),"",($K8*$C8*(1+'Property Summary'!$I$21)^(AS$13-1)))</f>
        <v>1378.4199999999998</v>
      </c>
      <c r="AT31" s="73">
        <f>IF(OR($B8="",$B8=0),"",($K8*$C8*(1+'Property Summary'!$I$21)^(AT$13-1)))</f>
        <v>1378.4199999999998</v>
      </c>
      <c r="AU31" s="73">
        <f>IF(OR($B8="",$B8=0),"",($K8*$C8*(1+'Property Summary'!$I$21)^(AU$13-1)))</f>
        <v>1378.4199999999998</v>
      </c>
      <c r="AV31" s="73">
        <f>IF(OR($B8="",$B8=0),"",($K8*$C8*(1+'Property Summary'!$I$21)^(AV$13-1)))</f>
        <v>1378.4199999999998</v>
      </c>
      <c r="AW31" s="73">
        <f>IF(OR($B8="",$B8=0),"",($K8*$C8*(1+'Property Summary'!$I$21)^(AW$13-1)))</f>
        <v>1378.4199999999998</v>
      </c>
      <c r="AX31" s="73">
        <f>IF(OR($B8="",$B8=0),"",($K8*$C8*(1+'Property Summary'!$I$21)^(AX$13-1)))</f>
        <v>1378.4199999999998</v>
      </c>
      <c r="AY31" s="73">
        <f>IF(OR($B8="",$B8=0),"",($K8*$C8*(1+'Property Summary'!$I$21)^(AY$13-1)))</f>
        <v>1412.8804999999998</v>
      </c>
      <c r="AZ31" s="73">
        <f>IF(OR($B8="",$B8=0),"",($K8*$C8*(1+'Property Summary'!$I$21)^(AZ$13-1)))</f>
        <v>1412.8804999999998</v>
      </c>
      <c r="BA31" s="73">
        <f>IF(OR($B8="",$B8=0),"",($K8*$C8*(1+'Property Summary'!$I$21)^(BA$13-1)))</f>
        <v>1412.8804999999998</v>
      </c>
      <c r="BB31" s="73">
        <f>IF(OR($B8="",$B8=0),"",($K8*$C8*(1+'Property Summary'!$I$21)^(BB$13-1)))</f>
        <v>1412.8804999999998</v>
      </c>
      <c r="BC31" s="73">
        <f>IF(OR($B8="",$B8=0),"",($K8*$C8*(1+'Property Summary'!$I$21)^(BC$13-1)))</f>
        <v>1412.8804999999998</v>
      </c>
      <c r="BD31" s="73">
        <f>IF(OR($B8="",$B8=0),"",($K8*$C8*(1+'Property Summary'!$I$21)^(BD$13-1)))</f>
        <v>1412.8804999999998</v>
      </c>
      <c r="BE31" s="73">
        <f>IF(OR($B8="",$B8=0),"",($K8*$C8*(1+'Property Summary'!$I$21)^(BE$13-1)))</f>
        <v>1412.8804999999998</v>
      </c>
      <c r="BF31" s="73">
        <f>IF(OR($B8="",$B8=0),"",($K8*$C8*(1+'Property Summary'!$I$21)^(BF$13-1)))</f>
        <v>1412.8804999999998</v>
      </c>
      <c r="BG31" s="73">
        <f>IF(OR($B8="",$B8=0),"",($K8*$C8*(1+'Property Summary'!$I$21)^(BG$13-1)))</f>
        <v>1412.8804999999998</v>
      </c>
      <c r="BH31" s="73">
        <f>IF(OR($B8="",$B8=0),"",($K8*$C8*(1+'Property Summary'!$I$21)^(BH$13-1)))</f>
        <v>1412.8804999999998</v>
      </c>
      <c r="BI31" s="73">
        <f>IF(OR($B8="",$B8=0),"",($K8*$C8*(1+'Property Summary'!$I$21)^(BI$13-1)))</f>
        <v>1412.8804999999998</v>
      </c>
      <c r="BJ31" s="73">
        <f>IF(OR($B8="",$B8=0),"",($K8*$C8*(1+'Property Summary'!$I$21)^(BJ$13-1)))</f>
        <v>1412.8804999999998</v>
      </c>
      <c r="BK31" s="73">
        <f>IF(OR($B8="",$B8=0),"",($K8*$C8*(1+'Property Summary'!$I$21)^(BK$13-1)))</f>
        <v>1448.2025124999996</v>
      </c>
      <c r="BL31" s="73">
        <f>IF(OR($B8="",$B8=0),"",($K8*$C8*(1+'Property Summary'!$I$21)^(BL$13-1)))</f>
        <v>1448.2025124999996</v>
      </c>
      <c r="BM31" s="73">
        <f>IF(OR($B8="",$B8=0),"",($K8*$C8*(1+'Property Summary'!$I$21)^(BM$13-1)))</f>
        <v>1448.2025124999996</v>
      </c>
      <c r="BN31" s="73">
        <f>IF(OR($B8="",$B8=0),"",($K8*$C8*(1+'Property Summary'!$I$21)^(BN$13-1)))</f>
        <v>1448.2025124999996</v>
      </c>
      <c r="BO31" s="73">
        <f>IF(OR($B8="",$B8=0),"",($K8*$C8*(1+'Property Summary'!$I$21)^(BO$13-1)))</f>
        <v>1448.2025124999996</v>
      </c>
      <c r="BP31" s="73">
        <f>IF(OR($B8="",$B8=0),"",($K8*$C8*(1+'Property Summary'!$I$21)^(BP$13-1)))</f>
        <v>1448.2025124999996</v>
      </c>
      <c r="BQ31" s="73">
        <f>IF(OR($B8="",$B8=0),"",($K8*$C8*(1+'Property Summary'!$I$21)^(BQ$13-1)))</f>
        <v>1448.2025124999996</v>
      </c>
      <c r="BR31" s="73">
        <f>IF(OR($B8="",$B8=0),"",($K8*$C8*(1+'Property Summary'!$I$21)^(BR$13-1)))</f>
        <v>1448.2025124999996</v>
      </c>
      <c r="BS31" s="73">
        <f>IF(OR($B8="",$B8=0),"",($K8*$C8*(1+'Property Summary'!$I$21)^(BS$13-1)))</f>
        <v>1448.2025124999996</v>
      </c>
      <c r="BT31" s="73">
        <f>IF(OR($B8="",$B8=0),"",($K8*$C8*(1+'Property Summary'!$I$21)^(BT$13-1)))</f>
        <v>1448.2025124999996</v>
      </c>
      <c r="BU31" s="73">
        <f>IF(OR($B8="",$B8=0),"",($K8*$C8*(1+'Property Summary'!$I$21)^(BU$13-1)))</f>
        <v>1448.2025124999996</v>
      </c>
      <c r="BV31" s="73">
        <f>IF(OR($B8="",$B8=0),"",($K8*$C8*(1+'Property Summary'!$I$21)^(BV$13-1)))</f>
        <v>1448.2025124999996</v>
      </c>
      <c r="BW31" s="73">
        <f>IF(OR($B8="",$B8=0),"",($K8*$C8*(1+'Property Summary'!$I$21)^(BW$13-1)))</f>
        <v>1484.4075753124994</v>
      </c>
      <c r="BX31" s="73">
        <f>IF(OR($B8="",$B8=0),"",($K8*$C8*(1+'Property Summary'!$I$21)^(BX$13-1)))</f>
        <v>1484.4075753124994</v>
      </c>
      <c r="BY31" s="73">
        <f>IF(OR($B8="",$B8=0),"",($K8*$C8*(1+'Property Summary'!$I$21)^(BY$13-1)))</f>
        <v>1484.4075753124994</v>
      </c>
      <c r="BZ31" s="73">
        <f>IF(OR($B8="",$B8=0),"",($K8*$C8*(1+'Property Summary'!$I$21)^(BZ$13-1)))</f>
        <v>1484.4075753124994</v>
      </c>
      <c r="CA31" s="73">
        <f>IF(OR($B8="",$B8=0),"",($K8*$C8*(1+'Property Summary'!$I$21)^(CA$13-1)))</f>
        <v>1484.4075753124994</v>
      </c>
      <c r="CB31" s="73">
        <f>IF(OR($B8="",$B8=0),"",($K8*$C8*(1+'Property Summary'!$I$21)^(CB$13-1)))</f>
        <v>1484.4075753124994</v>
      </c>
      <c r="CC31" s="73">
        <f>IF(OR($B8="",$B8=0),"",($K8*$C8*(1+'Property Summary'!$I$21)^(CC$13-1)))</f>
        <v>1484.4075753124994</v>
      </c>
      <c r="CD31" s="73">
        <f>IF(OR($B8="",$B8=0),"",($K8*$C8*(1+'Property Summary'!$I$21)^(CD$13-1)))</f>
        <v>1484.4075753124994</v>
      </c>
      <c r="CE31" s="73">
        <f>IF(OR($B8="",$B8=0),"",($K8*$C8*(1+'Property Summary'!$I$21)^(CE$13-1)))</f>
        <v>1484.4075753124994</v>
      </c>
      <c r="CF31" s="73">
        <f>IF(OR($B8="",$B8=0),"",($K8*$C8*(1+'Property Summary'!$I$21)^(CF$13-1)))</f>
        <v>1484.4075753124994</v>
      </c>
      <c r="CG31" s="73">
        <f>IF(OR($B8="",$B8=0),"",($K8*$C8*(1+'Property Summary'!$I$21)^(CG$13-1)))</f>
        <v>1484.4075753124994</v>
      </c>
      <c r="CH31" s="73">
        <f>IF(OR($B8="",$B8=0),"",($K8*$C8*(1+'Property Summary'!$I$21)^(CH$13-1)))</f>
        <v>1484.4075753124994</v>
      </c>
      <c r="CI31" s="73">
        <f>IF(OR($B8="",$B8=0),"",($K8*$C8*(1+'Property Summary'!$I$21)^(CI$13-1)))</f>
        <v>1521.5177646953121</v>
      </c>
      <c r="CJ31" s="73">
        <f>IF(OR($B8="",$B8=0),"",($K8*$C8*(1+'Property Summary'!$I$21)^(CJ$13-1)))</f>
        <v>1521.5177646953121</v>
      </c>
      <c r="CK31" s="73">
        <f>IF(OR($B8="",$B8=0),"",($K8*$C8*(1+'Property Summary'!$I$21)^(CK$13-1)))</f>
        <v>1521.5177646953121</v>
      </c>
      <c r="CL31" s="73">
        <f>IF(OR($B8="",$B8=0),"",($K8*$C8*(1+'Property Summary'!$I$21)^(CL$13-1)))</f>
        <v>1521.5177646953121</v>
      </c>
      <c r="CM31" s="73">
        <f>IF(OR($B8="",$B8=0),"",($K8*$C8*(1+'Property Summary'!$I$21)^(CM$13-1)))</f>
        <v>1521.5177646953121</v>
      </c>
      <c r="CN31" s="73">
        <f>IF(OR($B8="",$B8=0),"",($K8*$C8*(1+'Property Summary'!$I$21)^(CN$13-1)))</f>
        <v>1521.5177646953121</v>
      </c>
      <c r="CO31" s="73">
        <f>IF(OR($B8="",$B8=0),"",($K8*$C8*(1+'Property Summary'!$I$21)^(CO$13-1)))</f>
        <v>1521.5177646953121</v>
      </c>
      <c r="CP31" s="73">
        <f>IF(OR($B8="",$B8=0),"",($K8*$C8*(1+'Property Summary'!$I$21)^(CP$13-1)))</f>
        <v>1521.5177646953121</v>
      </c>
      <c r="CQ31" s="73">
        <f>IF(OR($B8="",$B8=0),"",($K8*$C8*(1+'Property Summary'!$I$21)^(CQ$13-1)))</f>
        <v>1521.5177646953121</v>
      </c>
      <c r="CR31" s="73">
        <f>IF(OR($B8="",$B8=0),"",($K8*$C8*(1+'Property Summary'!$I$21)^(CR$13-1)))</f>
        <v>1521.5177646953121</v>
      </c>
      <c r="CS31" s="73">
        <f>IF(OR($B8="",$B8=0),"",($K8*$C8*(1+'Property Summary'!$I$21)^(CS$13-1)))</f>
        <v>1521.5177646953121</v>
      </c>
      <c r="CT31" s="73">
        <f>IF(OR($B8="",$B8=0),"",($K8*$C8*(1+'Property Summary'!$I$21)^(CT$13-1)))</f>
        <v>1521.5177646953121</v>
      </c>
      <c r="CU31" s="73">
        <f>IF(OR($B8="",$B8=0),"",($K8*$C8*(1+'Property Summary'!$I$21)^(CU$13-1)))</f>
        <v>1559.5557088126948</v>
      </c>
      <c r="CV31" s="73">
        <f>IF(OR($B8="",$B8=0),"",($K8*$C8*(1+'Property Summary'!$I$21)^(CV$13-1)))</f>
        <v>1559.5557088126948</v>
      </c>
      <c r="CW31" s="73">
        <f>IF(OR($B8="",$B8=0),"",($K8*$C8*(1+'Property Summary'!$I$21)^(CW$13-1)))</f>
        <v>1559.5557088126948</v>
      </c>
      <c r="CX31" s="73">
        <f>IF(OR($B8="",$B8=0),"",($K8*$C8*(1+'Property Summary'!$I$21)^(CX$13-1)))</f>
        <v>1559.5557088126948</v>
      </c>
      <c r="CY31" s="73">
        <f>IF(OR($B8="",$B8=0),"",($K8*$C8*(1+'Property Summary'!$I$21)^(CY$13-1)))</f>
        <v>1559.5557088126948</v>
      </c>
      <c r="CZ31" s="73">
        <f>IF(OR($B8="",$B8=0),"",($K8*$C8*(1+'Property Summary'!$I$21)^(CZ$13-1)))</f>
        <v>1559.5557088126948</v>
      </c>
      <c r="DA31" s="73">
        <f>IF(OR($B8="",$B8=0),"",($K8*$C8*(1+'Property Summary'!$I$21)^(DA$13-1)))</f>
        <v>1559.5557088126948</v>
      </c>
      <c r="DB31" s="73">
        <f>IF(OR($B8="",$B8=0),"",($K8*$C8*(1+'Property Summary'!$I$21)^(DB$13-1)))</f>
        <v>1559.5557088126948</v>
      </c>
      <c r="DC31" s="73">
        <f>IF(OR($B8="",$B8=0),"",($K8*$C8*(1+'Property Summary'!$I$21)^(DC$13-1)))</f>
        <v>1559.5557088126948</v>
      </c>
      <c r="DD31" s="73">
        <f>IF(OR($B8="",$B8=0),"",($K8*$C8*(1+'Property Summary'!$I$21)^(DD$13-1)))</f>
        <v>1559.5557088126948</v>
      </c>
      <c r="DE31" s="73">
        <f>IF(OR($B8="",$B8=0),"",($K8*$C8*(1+'Property Summary'!$I$21)^(DE$13-1)))</f>
        <v>1559.5557088126948</v>
      </c>
      <c r="DF31" s="73">
        <f>IF(OR($B8="",$B8=0),"",($K8*$C8*(1+'Property Summary'!$I$21)^(DF$13-1)))</f>
        <v>1559.5557088126948</v>
      </c>
      <c r="DG31" s="73">
        <f>IF(OR($B8="",$B8=0),"",($K8*$C8*(1+'Property Summary'!$I$21)^(DG$13-1)))</f>
        <v>1598.5446015330117</v>
      </c>
      <c r="DH31" s="73">
        <f>IF(OR($B8="",$B8=0),"",($K8*$C8*(1+'Property Summary'!$I$21)^(DH$13-1)))</f>
        <v>1598.5446015330117</v>
      </c>
      <c r="DI31" s="73">
        <f>IF(OR($B8="",$B8=0),"",($K8*$C8*(1+'Property Summary'!$I$21)^(DI$13-1)))</f>
        <v>1598.5446015330117</v>
      </c>
      <c r="DJ31" s="73">
        <f>IF(OR($B8="",$B8=0),"",($K8*$C8*(1+'Property Summary'!$I$21)^(DJ$13-1)))</f>
        <v>1598.5446015330117</v>
      </c>
      <c r="DK31" s="73">
        <f>IF(OR($B8="",$B8=0),"",($K8*$C8*(1+'Property Summary'!$I$21)^(DK$13-1)))</f>
        <v>1598.5446015330117</v>
      </c>
      <c r="DL31" s="73">
        <f>IF(OR($B8="",$B8=0),"",($K8*$C8*(1+'Property Summary'!$I$21)^(DL$13-1)))</f>
        <v>1598.5446015330117</v>
      </c>
      <c r="DM31" s="73">
        <f>IF(OR($B8="",$B8=0),"",($K8*$C8*(1+'Property Summary'!$I$21)^(DM$13-1)))</f>
        <v>1598.5446015330117</v>
      </c>
      <c r="DN31" s="73">
        <f>IF(OR($B8="",$B8=0),"",($K8*$C8*(1+'Property Summary'!$I$21)^(DN$13-1)))</f>
        <v>1598.5446015330117</v>
      </c>
      <c r="DO31" s="73">
        <f>IF(OR($B8="",$B8=0),"",($K8*$C8*(1+'Property Summary'!$I$21)^(DO$13-1)))</f>
        <v>1598.5446015330117</v>
      </c>
      <c r="DP31" s="73">
        <f>IF(OR($B8="",$B8=0),"",($K8*$C8*(1+'Property Summary'!$I$21)^(DP$13-1)))</f>
        <v>1598.5446015330117</v>
      </c>
      <c r="DQ31" s="73">
        <f>IF(OR($B8="",$B8=0),"",($K8*$C8*(1+'Property Summary'!$I$21)^(DQ$13-1)))</f>
        <v>1598.5446015330117</v>
      </c>
      <c r="DR31" s="73">
        <f>IF(OR($B8="",$B8=0),"",($K8*$C8*(1+'Property Summary'!$I$21)^(DR$13-1)))</f>
        <v>1598.5446015330117</v>
      </c>
      <c r="DS31" s="73">
        <f>IF(OR($B8="",$B8=0),"",($K8*$C8*(1+'Property Summary'!$I$21)^(DS$13-1)))</f>
        <v>1638.508216571337</v>
      </c>
      <c r="DT31" s="73">
        <f>IF(OR($B8="",$B8=0),"",($K8*$C8*(1+'Property Summary'!$I$21)^(DT$13-1)))</f>
        <v>1638.508216571337</v>
      </c>
      <c r="DU31" s="73">
        <f>IF(OR($B8="",$B8=0),"",($K8*$C8*(1+'Property Summary'!$I$21)^(DU$13-1)))</f>
        <v>1638.508216571337</v>
      </c>
      <c r="DV31" s="73">
        <f>IF(OR($B8="",$B8=0),"",($K8*$C8*(1+'Property Summary'!$I$21)^(DV$13-1)))</f>
        <v>1638.508216571337</v>
      </c>
      <c r="DW31" s="73">
        <f>IF(OR($B8="",$B8=0),"",($K8*$C8*(1+'Property Summary'!$I$21)^(DW$13-1)))</f>
        <v>1638.508216571337</v>
      </c>
      <c r="DX31" s="73">
        <f>IF(OR($B8="",$B8=0),"",($K8*$C8*(1+'Property Summary'!$I$21)^(DX$13-1)))</f>
        <v>1638.508216571337</v>
      </c>
      <c r="DY31" s="73">
        <f>IF(OR($B8="",$B8=0),"",($K8*$C8*(1+'Property Summary'!$I$21)^(DY$13-1)))</f>
        <v>1638.508216571337</v>
      </c>
      <c r="DZ31" s="73">
        <f>IF(OR($B8="",$B8=0),"",($K8*$C8*(1+'Property Summary'!$I$21)^(DZ$13-1)))</f>
        <v>1638.508216571337</v>
      </c>
      <c r="EA31" s="73">
        <f>IF(OR($B8="",$B8=0),"",($K8*$C8*(1+'Property Summary'!$I$21)^(EA$13-1)))</f>
        <v>1638.508216571337</v>
      </c>
      <c r="EB31" s="73">
        <f>IF(OR($B8="",$B8=0),"",($K8*$C8*(1+'Property Summary'!$I$21)^(EB$13-1)))</f>
        <v>1638.508216571337</v>
      </c>
      <c r="EC31" s="73">
        <f>IF(OR($B8="",$B8=0),"",($K8*$C8*(1+'Property Summary'!$I$21)^(EC$13-1)))</f>
        <v>1638.508216571337</v>
      </c>
      <c r="ED31" s="73">
        <f>IF(OR($B8="",$B8=0),"",($K8*$C8*(1+'Property Summary'!$I$21)^(ED$13-1)))</f>
        <v>1638.508216571337</v>
      </c>
      <c r="EE31" s="73">
        <f>IF(OR($B8="",$B8=0),"",($K8*$C8*(1+'Property Summary'!$I$21)^(EE$13-1)))</f>
        <v>1679.4709219856204</v>
      </c>
      <c r="EF31" s="73">
        <f>IF(OR($B8="",$B8=0),"",($K8*$C8*(1+'Property Summary'!$I$21)^(EF$13-1)))</f>
        <v>1679.4709219856204</v>
      </c>
      <c r="EG31" s="73">
        <f>IF(OR($B8="",$B8=0),"",($K8*$C8*(1+'Property Summary'!$I$21)^(EG$13-1)))</f>
        <v>1679.4709219856204</v>
      </c>
      <c r="EH31" s="73">
        <f>IF(OR($B8="",$B8=0),"",($K8*$C8*(1+'Property Summary'!$I$21)^(EH$13-1)))</f>
        <v>1679.4709219856204</v>
      </c>
      <c r="EI31" s="73">
        <f>IF(OR($B8="",$B8=0),"",($K8*$C8*(1+'Property Summary'!$I$21)^(EI$13-1)))</f>
        <v>1679.4709219856204</v>
      </c>
      <c r="EJ31" s="73">
        <f>IF(OR($B8="",$B8=0),"",($K8*$C8*(1+'Property Summary'!$I$21)^(EJ$13-1)))</f>
        <v>1679.4709219856204</v>
      </c>
      <c r="EK31" s="73">
        <f>IF(OR($B8="",$B8=0),"",($K8*$C8*(1+'Property Summary'!$I$21)^(EK$13-1)))</f>
        <v>1679.4709219856204</v>
      </c>
      <c r="EL31" s="73">
        <f>IF(OR($B8="",$B8=0),"",($K8*$C8*(1+'Property Summary'!$I$21)^(EL$13-1)))</f>
        <v>1679.4709219856204</v>
      </c>
      <c r="EM31" s="73">
        <f>IF(OR($B8="",$B8=0),"",($K8*$C8*(1+'Property Summary'!$I$21)^(EM$13-1)))</f>
        <v>1679.4709219856204</v>
      </c>
      <c r="EN31" s="73">
        <f>IF(OR($B8="",$B8=0),"",($K8*$C8*(1+'Property Summary'!$I$21)^(EN$13-1)))</f>
        <v>1679.4709219856204</v>
      </c>
      <c r="EO31" s="73">
        <f>IF(OR($B8="",$B8=0),"",($K8*$C8*(1+'Property Summary'!$I$21)^(EO$13-1)))</f>
        <v>1679.4709219856204</v>
      </c>
      <c r="EP31" s="73">
        <f>IF(OR($B8="",$B8=0),"",($K8*$C8*(1+'Property Summary'!$I$21)^(EP$13-1)))</f>
        <v>1679.4709219856204</v>
      </c>
      <c r="EQ31" s="73">
        <f>IF(OR($B8="",$B8=0),"",($K8*$C8*(1+'Property Summary'!$I$21)^(EQ$13-1)))</f>
        <v>1721.4576950352607</v>
      </c>
      <c r="ER31" s="73">
        <f>IF(OR($B8="",$B8=0),"",($K8*$C8*(1+'Property Summary'!$I$21)^(ER$13-1)))</f>
        <v>1721.4576950352607</v>
      </c>
      <c r="ES31" s="73">
        <f>IF(OR($B8="",$B8=0),"",($K8*$C8*(1+'Property Summary'!$I$21)^(ES$13-1)))</f>
        <v>1721.4576950352607</v>
      </c>
      <c r="ET31" s="73">
        <f>IF(OR($B8="",$B8=0),"",($K8*$C8*(1+'Property Summary'!$I$21)^(ET$13-1)))</f>
        <v>1721.4576950352607</v>
      </c>
      <c r="EU31" s="73">
        <f>IF(OR($B8="",$B8=0),"",($K8*$C8*(1+'Property Summary'!$I$21)^(EU$13-1)))</f>
        <v>1721.4576950352607</v>
      </c>
      <c r="EV31" s="73">
        <f>IF(OR($B8="",$B8=0),"",($K8*$C8*(1+'Property Summary'!$I$21)^(EV$13-1)))</f>
        <v>1721.4576950352607</v>
      </c>
      <c r="EW31" s="73">
        <f>IF(OR($B8="",$B8=0),"",($K8*$C8*(1+'Property Summary'!$I$21)^(EW$13-1)))</f>
        <v>1721.4576950352607</v>
      </c>
      <c r="EX31" s="73">
        <f>IF(OR($B8="",$B8=0),"",($K8*$C8*(1+'Property Summary'!$I$21)^(EX$13-1)))</f>
        <v>1721.4576950352607</v>
      </c>
      <c r="EY31" s="73">
        <f>IF(OR($B8="",$B8=0),"",($K8*$C8*(1+'Property Summary'!$I$21)^(EY$13-1)))</f>
        <v>1721.4576950352607</v>
      </c>
      <c r="EZ31" s="73">
        <f>IF(OR($B8="",$B8=0),"",($K8*$C8*(1+'Property Summary'!$I$21)^(EZ$13-1)))</f>
        <v>1721.4576950352607</v>
      </c>
      <c r="FA31" s="73">
        <f>IF(OR($B8="",$B8=0),"",($K8*$C8*(1+'Property Summary'!$I$21)^(FA$13-1)))</f>
        <v>1721.4576950352607</v>
      </c>
      <c r="FB31" s="73">
        <f>IF(OR($B8="",$B8=0),"",($K8*$C8*(1+'Property Summary'!$I$21)^(FB$13-1)))</f>
        <v>1721.4576950352607</v>
      </c>
      <c r="FC31" s="73">
        <f>IF(OR($B8="",$B8=0),"",($K8*$C8*(1+'Property Summary'!$I$21)^(FC$13-1)))</f>
        <v>1764.4941374111422</v>
      </c>
      <c r="FD31" s="73">
        <f>IF(OR($B8="",$B8=0),"",($K8*$C8*(1+'Property Summary'!$I$21)^(FD$13-1)))</f>
        <v>1764.4941374111422</v>
      </c>
      <c r="FE31" s="73">
        <f>IF(OR($B8="",$B8=0),"",($K8*$C8*(1+'Property Summary'!$I$21)^(FE$13-1)))</f>
        <v>1764.4941374111422</v>
      </c>
      <c r="FF31" s="73">
        <f>IF(OR($B8="",$B8=0),"",($K8*$C8*(1+'Property Summary'!$I$21)^(FF$13-1)))</f>
        <v>1764.4941374111422</v>
      </c>
      <c r="FG31" s="73">
        <f>IF(OR($B8="",$B8=0),"",($K8*$C8*(1+'Property Summary'!$I$21)^(FG$13-1)))</f>
        <v>1764.4941374111422</v>
      </c>
      <c r="FH31" s="73">
        <f>IF(OR($B8="",$B8=0),"",($K8*$C8*(1+'Property Summary'!$I$21)^(FH$13-1)))</f>
        <v>1764.4941374111422</v>
      </c>
      <c r="FI31" s="73">
        <f>IF(OR($B8="",$B8=0),"",($K8*$C8*(1+'Property Summary'!$I$21)^(FI$13-1)))</f>
        <v>1764.4941374111422</v>
      </c>
      <c r="FJ31" s="73">
        <f>IF(OR($B8="",$B8=0),"",($K8*$C8*(1+'Property Summary'!$I$21)^(FJ$13-1)))</f>
        <v>1764.4941374111422</v>
      </c>
      <c r="FK31" s="73">
        <f>IF(OR($B8="",$B8=0),"",($K8*$C8*(1+'Property Summary'!$I$21)^(FK$13-1)))</f>
        <v>1764.4941374111422</v>
      </c>
      <c r="FL31" s="73">
        <f>IF(OR($B8="",$B8=0),"",($K8*$C8*(1+'Property Summary'!$I$21)^(FL$13-1)))</f>
        <v>1764.4941374111422</v>
      </c>
      <c r="FM31" s="73">
        <f>IF(OR($B8="",$B8=0),"",($K8*$C8*(1+'Property Summary'!$I$21)^(FM$13-1)))</f>
        <v>1764.4941374111422</v>
      </c>
      <c r="FN31" s="73">
        <f>IF(OR($B8="",$B8=0),"",($K8*$C8*(1+'Property Summary'!$I$21)^(FN$13-1)))</f>
        <v>1764.4941374111422</v>
      </c>
      <c r="FO31" s="73">
        <f>IF(OR($B8="",$B8=0),"",($K8*$C8*(1+'Property Summary'!$I$21)^(FO$13-1)))</f>
        <v>1808.6064908464207</v>
      </c>
      <c r="FP31" s="73">
        <f>IF(OR($B8="",$B8=0),"",($K8*$C8*(1+'Property Summary'!$I$21)^(FP$13-1)))</f>
        <v>1808.6064908464207</v>
      </c>
      <c r="FQ31" s="73">
        <f>IF(OR($B8="",$B8=0),"",($K8*$C8*(1+'Property Summary'!$I$21)^(FQ$13-1)))</f>
        <v>1808.6064908464207</v>
      </c>
      <c r="FR31" s="73">
        <f>IF(OR($B8="",$B8=0),"",($K8*$C8*(1+'Property Summary'!$I$21)^(FR$13-1)))</f>
        <v>1808.6064908464207</v>
      </c>
      <c r="FS31" s="73">
        <f>IF(OR($B8="",$B8=0),"",($K8*$C8*(1+'Property Summary'!$I$21)^(FS$13-1)))</f>
        <v>1808.6064908464207</v>
      </c>
      <c r="FT31" s="73">
        <f>IF(OR($B8="",$B8=0),"",($K8*$C8*(1+'Property Summary'!$I$21)^(FT$13-1)))</f>
        <v>1808.6064908464207</v>
      </c>
      <c r="FU31" s="73">
        <f>IF(OR($B8="",$B8=0),"",($K8*$C8*(1+'Property Summary'!$I$21)^(FU$13-1)))</f>
        <v>1808.6064908464207</v>
      </c>
      <c r="FV31" s="73">
        <f>IF(OR($B8="",$B8=0),"",($K8*$C8*(1+'Property Summary'!$I$21)^(FV$13-1)))</f>
        <v>1808.6064908464207</v>
      </c>
      <c r="FW31" s="73">
        <f>IF(OR($B8="",$B8=0),"",($K8*$C8*(1+'Property Summary'!$I$21)^(FW$13-1)))</f>
        <v>1808.6064908464207</v>
      </c>
      <c r="FX31" s="73">
        <f>IF(OR($B8="",$B8=0),"",($K8*$C8*(1+'Property Summary'!$I$21)^(FX$13-1)))</f>
        <v>1808.6064908464207</v>
      </c>
      <c r="FY31" s="73">
        <f>IF(OR($B8="",$B8=0),"",($K8*$C8*(1+'Property Summary'!$I$21)^(FY$13-1)))</f>
        <v>1808.6064908464207</v>
      </c>
      <c r="FZ31" s="86">
        <f>IF(OR($B8="",$B8=0),"",($K8*$C8*(1+'Property Summary'!$I$21)^(FZ$13-1)))</f>
        <v>1808.6064908464207</v>
      </c>
    </row>
    <row r="32" spans="2:182" x14ac:dyDescent="0.2">
      <c r="B32" s="85"/>
      <c r="C32" s="73">
        <f>IF(OR($B9="",$B9=0),"",($K9*$C9*(1+'Property Summary'!$I$21)^(C$13-1)))</f>
        <v>1080</v>
      </c>
      <c r="D32" s="73">
        <f>IF(OR($B9="",$B9=0),"",($K9*$C9*(1+'Property Summary'!$I$21)^(D$13-1)))</f>
        <v>1080</v>
      </c>
      <c r="E32" s="73">
        <f>IF(OR($B9="",$B9=0),"",($K9*$C9*(1+'Property Summary'!$I$21)^(E$13-1)))</f>
        <v>1080</v>
      </c>
      <c r="F32" s="73">
        <f>IF(OR($B9="",$B9=0),"",($K9*$C9*(1+'Property Summary'!$I$21)^(F$13-1)))</f>
        <v>1080</v>
      </c>
      <c r="G32" s="73">
        <f>IF(OR($B9="",$B9=0),"",($K9*$C9*(1+'Property Summary'!$I$21)^(G$13-1)))</f>
        <v>1080</v>
      </c>
      <c r="H32" s="73">
        <f>IF(OR($B9="",$B9=0),"",($K9*$C9*(1+'Property Summary'!$I$21)^(H$13-1)))</f>
        <v>1080</v>
      </c>
      <c r="I32" s="73">
        <f>IF(OR($B9="",$B9=0),"",($K9*$C9*(1+'Property Summary'!$I$21)^(I$13-1)))</f>
        <v>1080</v>
      </c>
      <c r="J32" s="73">
        <f>IF(OR($B9="",$B9=0),"",($K9*$C9*(1+'Property Summary'!$I$21)^(J$13-1)))</f>
        <v>1080</v>
      </c>
      <c r="K32" s="73">
        <f>IF(OR($B9="",$B9=0),"",($K9*$C9*(1+'Property Summary'!$I$21)^(K$13-1)))</f>
        <v>1080</v>
      </c>
      <c r="L32" s="73">
        <f>IF(OR($B9="",$B9=0),"",($K9*$C9*(1+'Property Summary'!$I$21)^(L$13-1)))</f>
        <v>1080</v>
      </c>
      <c r="M32" s="73">
        <f>IF(OR($B9="",$B9=0),"",($K9*$C9*(1+'Property Summary'!$I$21)^(M$13-1)))</f>
        <v>1080</v>
      </c>
      <c r="N32" s="73">
        <f>IF(OR($B9="",$B9=0),"",($K9*$C9*(1+'Property Summary'!$I$21)^(N$13-1)))</f>
        <v>1080</v>
      </c>
      <c r="O32" s="73">
        <f>IF(OR($B9="",$B9=0),"",($K9*$C9*(1+'Property Summary'!$I$21)^(O$13-1)))</f>
        <v>1107</v>
      </c>
      <c r="P32" s="73">
        <f>IF(OR($B9="",$B9=0),"",($K9*$C9*(1+'Property Summary'!$I$21)^(P$13-1)))</f>
        <v>1107</v>
      </c>
      <c r="Q32" s="73">
        <f>IF(OR($B9="",$B9=0),"",($K9*$C9*(1+'Property Summary'!$I$21)^(Q$13-1)))</f>
        <v>1107</v>
      </c>
      <c r="R32" s="73">
        <f>IF(OR($B9="",$B9=0),"",($K9*$C9*(1+'Property Summary'!$I$21)^(R$13-1)))</f>
        <v>1107</v>
      </c>
      <c r="S32" s="73">
        <f>IF(OR($B9="",$B9=0),"",($K9*$C9*(1+'Property Summary'!$I$21)^(S$13-1)))</f>
        <v>1107</v>
      </c>
      <c r="T32" s="73">
        <f>IF(OR($B9="",$B9=0),"",($K9*$C9*(1+'Property Summary'!$I$21)^(T$13-1)))</f>
        <v>1107</v>
      </c>
      <c r="U32" s="73">
        <f>IF(OR($B9="",$B9=0),"",($K9*$C9*(1+'Property Summary'!$I$21)^(U$13-1)))</f>
        <v>1107</v>
      </c>
      <c r="V32" s="73">
        <f>IF(OR($B9="",$B9=0),"",($K9*$C9*(1+'Property Summary'!$I$21)^(V$13-1)))</f>
        <v>1107</v>
      </c>
      <c r="W32" s="73">
        <f>IF(OR($B9="",$B9=0),"",($K9*$C9*(1+'Property Summary'!$I$21)^(W$13-1)))</f>
        <v>1107</v>
      </c>
      <c r="X32" s="73">
        <f>IF(OR($B9="",$B9=0),"",($K9*$C9*(1+'Property Summary'!$I$21)^(X$13-1)))</f>
        <v>1107</v>
      </c>
      <c r="Y32" s="73">
        <f>IF(OR($B9="",$B9=0),"",($K9*$C9*(1+'Property Summary'!$I$21)^(Y$13-1)))</f>
        <v>1107</v>
      </c>
      <c r="Z32" s="73">
        <f>IF(OR($B9="",$B9=0),"",($K9*$C9*(1+'Property Summary'!$I$21)^(Z$13-1)))</f>
        <v>1107</v>
      </c>
      <c r="AA32" s="73">
        <f>IF(OR($B9="",$B9=0),"",($K9*$C9*(1+'Property Summary'!$I$21)^(AA$13-1)))</f>
        <v>1134.675</v>
      </c>
      <c r="AB32" s="73">
        <f>IF(OR($B9="",$B9=0),"",($K9*$C9*(1+'Property Summary'!$I$21)^(AB$13-1)))</f>
        <v>1134.675</v>
      </c>
      <c r="AC32" s="73">
        <f>IF(OR($B9="",$B9=0),"",($K9*$C9*(1+'Property Summary'!$I$21)^(AC$13-1)))</f>
        <v>1134.675</v>
      </c>
      <c r="AD32" s="73">
        <f>IF(OR($B9="",$B9=0),"",($K9*$C9*(1+'Property Summary'!$I$21)^(AD$13-1)))</f>
        <v>1134.675</v>
      </c>
      <c r="AE32" s="73">
        <f>IF(OR($B9="",$B9=0),"",($K9*$C9*(1+'Property Summary'!$I$21)^(AE$13-1)))</f>
        <v>1134.675</v>
      </c>
      <c r="AF32" s="73">
        <f>IF(OR($B9="",$B9=0),"",($K9*$C9*(1+'Property Summary'!$I$21)^(AF$13-1)))</f>
        <v>1134.675</v>
      </c>
      <c r="AG32" s="73">
        <f>IF(OR($B9="",$B9=0),"",($K9*$C9*(1+'Property Summary'!$I$21)^(AG$13-1)))</f>
        <v>1134.675</v>
      </c>
      <c r="AH32" s="73">
        <f>IF(OR($B9="",$B9=0),"",($K9*$C9*(1+'Property Summary'!$I$21)^(AH$13-1)))</f>
        <v>1134.675</v>
      </c>
      <c r="AI32" s="73">
        <f>IF(OR($B9="",$B9=0),"",($K9*$C9*(1+'Property Summary'!$I$21)^(AI$13-1)))</f>
        <v>1134.675</v>
      </c>
      <c r="AJ32" s="73">
        <f>IF(OR($B9="",$B9=0),"",($K9*$C9*(1+'Property Summary'!$I$21)^(AJ$13-1)))</f>
        <v>1134.675</v>
      </c>
      <c r="AK32" s="73">
        <f>IF(OR($B9="",$B9=0),"",($K9*$C9*(1+'Property Summary'!$I$21)^(AK$13-1)))</f>
        <v>1134.675</v>
      </c>
      <c r="AL32" s="73">
        <f>IF(OR($B9="",$B9=0),"",($K9*$C9*(1+'Property Summary'!$I$21)^(AL$13-1)))</f>
        <v>1134.675</v>
      </c>
      <c r="AM32" s="73">
        <f>IF(OR($B9="",$B9=0),"",($K9*$C9*(1+'Property Summary'!$I$21)^(AM$13-1)))</f>
        <v>1163.0418749999999</v>
      </c>
      <c r="AN32" s="73">
        <f>IF(OR($B9="",$B9=0),"",($K9*$C9*(1+'Property Summary'!$I$21)^(AN$13-1)))</f>
        <v>1163.0418749999999</v>
      </c>
      <c r="AO32" s="73">
        <f>IF(OR($B9="",$B9=0),"",($K9*$C9*(1+'Property Summary'!$I$21)^(AO$13-1)))</f>
        <v>1163.0418749999999</v>
      </c>
      <c r="AP32" s="73">
        <f>IF(OR($B9="",$B9=0),"",($K9*$C9*(1+'Property Summary'!$I$21)^(AP$13-1)))</f>
        <v>1163.0418749999999</v>
      </c>
      <c r="AQ32" s="73">
        <f>IF(OR($B9="",$B9=0),"",($K9*$C9*(1+'Property Summary'!$I$21)^(AQ$13-1)))</f>
        <v>1163.0418749999999</v>
      </c>
      <c r="AR32" s="73">
        <f>IF(OR($B9="",$B9=0),"",($K9*$C9*(1+'Property Summary'!$I$21)^(AR$13-1)))</f>
        <v>1163.0418749999999</v>
      </c>
      <c r="AS32" s="73">
        <f>IF(OR($B9="",$B9=0),"",($K9*$C9*(1+'Property Summary'!$I$21)^(AS$13-1)))</f>
        <v>1163.0418749999999</v>
      </c>
      <c r="AT32" s="73">
        <f>IF(OR($B9="",$B9=0),"",($K9*$C9*(1+'Property Summary'!$I$21)^(AT$13-1)))</f>
        <v>1163.0418749999999</v>
      </c>
      <c r="AU32" s="73">
        <f>IF(OR($B9="",$B9=0),"",($K9*$C9*(1+'Property Summary'!$I$21)^(AU$13-1)))</f>
        <v>1163.0418749999999</v>
      </c>
      <c r="AV32" s="73">
        <f>IF(OR($B9="",$B9=0),"",($K9*$C9*(1+'Property Summary'!$I$21)^(AV$13-1)))</f>
        <v>1163.0418749999999</v>
      </c>
      <c r="AW32" s="73">
        <f>IF(OR($B9="",$B9=0),"",($K9*$C9*(1+'Property Summary'!$I$21)^(AW$13-1)))</f>
        <v>1163.0418749999999</v>
      </c>
      <c r="AX32" s="73">
        <f>IF(OR($B9="",$B9=0),"",($K9*$C9*(1+'Property Summary'!$I$21)^(AX$13-1)))</f>
        <v>1163.0418749999999</v>
      </c>
      <c r="AY32" s="73">
        <f>IF(OR($B9="",$B9=0),"",($K9*$C9*(1+'Property Summary'!$I$21)^(AY$13-1)))</f>
        <v>1192.1179218749996</v>
      </c>
      <c r="AZ32" s="73">
        <f>IF(OR($B9="",$B9=0),"",($K9*$C9*(1+'Property Summary'!$I$21)^(AZ$13-1)))</f>
        <v>1192.1179218749996</v>
      </c>
      <c r="BA32" s="73">
        <f>IF(OR($B9="",$B9=0),"",($K9*$C9*(1+'Property Summary'!$I$21)^(BA$13-1)))</f>
        <v>1192.1179218749996</v>
      </c>
      <c r="BB32" s="73">
        <f>IF(OR($B9="",$B9=0),"",($K9*$C9*(1+'Property Summary'!$I$21)^(BB$13-1)))</f>
        <v>1192.1179218749996</v>
      </c>
      <c r="BC32" s="73">
        <f>IF(OR($B9="",$B9=0),"",($K9*$C9*(1+'Property Summary'!$I$21)^(BC$13-1)))</f>
        <v>1192.1179218749996</v>
      </c>
      <c r="BD32" s="73">
        <f>IF(OR($B9="",$B9=0),"",($K9*$C9*(1+'Property Summary'!$I$21)^(BD$13-1)))</f>
        <v>1192.1179218749996</v>
      </c>
      <c r="BE32" s="73">
        <f>IF(OR($B9="",$B9=0),"",($K9*$C9*(1+'Property Summary'!$I$21)^(BE$13-1)))</f>
        <v>1192.1179218749996</v>
      </c>
      <c r="BF32" s="73">
        <f>IF(OR($B9="",$B9=0),"",($K9*$C9*(1+'Property Summary'!$I$21)^(BF$13-1)))</f>
        <v>1192.1179218749996</v>
      </c>
      <c r="BG32" s="73">
        <f>IF(OR($B9="",$B9=0),"",($K9*$C9*(1+'Property Summary'!$I$21)^(BG$13-1)))</f>
        <v>1192.1179218749996</v>
      </c>
      <c r="BH32" s="73">
        <f>IF(OR($B9="",$B9=0),"",($K9*$C9*(1+'Property Summary'!$I$21)^(BH$13-1)))</f>
        <v>1192.1179218749996</v>
      </c>
      <c r="BI32" s="73">
        <f>IF(OR($B9="",$B9=0),"",($K9*$C9*(1+'Property Summary'!$I$21)^(BI$13-1)))</f>
        <v>1192.1179218749996</v>
      </c>
      <c r="BJ32" s="73">
        <f>IF(OR($B9="",$B9=0),"",($K9*$C9*(1+'Property Summary'!$I$21)^(BJ$13-1)))</f>
        <v>1192.1179218749996</v>
      </c>
      <c r="BK32" s="73">
        <f>IF(OR($B9="",$B9=0),"",($K9*$C9*(1+'Property Summary'!$I$21)^(BK$13-1)))</f>
        <v>1221.9208699218746</v>
      </c>
      <c r="BL32" s="73">
        <f>IF(OR($B9="",$B9=0),"",($K9*$C9*(1+'Property Summary'!$I$21)^(BL$13-1)))</f>
        <v>1221.9208699218746</v>
      </c>
      <c r="BM32" s="73">
        <f>IF(OR($B9="",$B9=0),"",($K9*$C9*(1+'Property Summary'!$I$21)^(BM$13-1)))</f>
        <v>1221.9208699218746</v>
      </c>
      <c r="BN32" s="73">
        <f>IF(OR($B9="",$B9=0),"",($K9*$C9*(1+'Property Summary'!$I$21)^(BN$13-1)))</f>
        <v>1221.9208699218746</v>
      </c>
      <c r="BO32" s="73">
        <f>IF(OR($B9="",$B9=0),"",($K9*$C9*(1+'Property Summary'!$I$21)^(BO$13-1)))</f>
        <v>1221.9208699218746</v>
      </c>
      <c r="BP32" s="73">
        <f>IF(OR($B9="",$B9=0),"",($K9*$C9*(1+'Property Summary'!$I$21)^(BP$13-1)))</f>
        <v>1221.9208699218746</v>
      </c>
      <c r="BQ32" s="73">
        <f>IF(OR($B9="",$B9=0),"",($K9*$C9*(1+'Property Summary'!$I$21)^(BQ$13-1)))</f>
        <v>1221.9208699218746</v>
      </c>
      <c r="BR32" s="73">
        <f>IF(OR($B9="",$B9=0),"",($K9*$C9*(1+'Property Summary'!$I$21)^(BR$13-1)))</f>
        <v>1221.9208699218746</v>
      </c>
      <c r="BS32" s="73">
        <f>IF(OR($B9="",$B9=0),"",($K9*$C9*(1+'Property Summary'!$I$21)^(BS$13-1)))</f>
        <v>1221.9208699218746</v>
      </c>
      <c r="BT32" s="73">
        <f>IF(OR($B9="",$B9=0),"",($K9*$C9*(1+'Property Summary'!$I$21)^(BT$13-1)))</f>
        <v>1221.9208699218746</v>
      </c>
      <c r="BU32" s="73">
        <f>IF(OR($B9="",$B9=0),"",($K9*$C9*(1+'Property Summary'!$I$21)^(BU$13-1)))</f>
        <v>1221.9208699218746</v>
      </c>
      <c r="BV32" s="73">
        <f>IF(OR($B9="",$B9=0),"",($K9*$C9*(1+'Property Summary'!$I$21)^(BV$13-1)))</f>
        <v>1221.9208699218746</v>
      </c>
      <c r="BW32" s="73">
        <f>IF(OR($B9="",$B9=0),"",($K9*$C9*(1+'Property Summary'!$I$21)^(BW$13-1)))</f>
        <v>1252.4688916699215</v>
      </c>
      <c r="BX32" s="73">
        <f>IF(OR($B9="",$B9=0),"",($K9*$C9*(1+'Property Summary'!$I$21)^(BX$13-1)))</f>
        <v>1252.4688916699215</v>
      </c>
      <c r="BY32" s="73">
        <f>IF(OR($B9="",$B9=0),"",($K9*$C9*(1+'Property Summary'!$I$21)^(BY$13-1)))</f>
        <v>1252.4688916699215</v>
      </c>
      <c r="BZ32" s="73">
        <f>IF(OR($B9="",$B9=0),"",($K9*$C9*(1+'Property Summary'!$I$21)^(BZ$13-1)))</f>
        <v>1252.4688916699215</v>
      </c>
      <c r="CA32" s="73">
        <f>IF(OR($B9="",$B9=0),"",($K9*$C9*(1+'Property Summary'!$I$21)^(CA$13-1)))</f>
        <v>1252.4688916699215</v>
      </c>
      <c r="CB32" s="73">
        <f>IF(OR($B9="",$B9=0),"",($K9*$C9*(1+'Property Summary'!$I$21)^(CB$13-1)))</f>
        <v>1252.4688916699215</v>
      </c>
      <c r="CC32" s="73">
        <f>IF(OR($B9="",$B9=0),"",($K9*$C9*(1+'Property Summary'!$I$21)^(CC$13-1)))</f>
        <v>1252.4688916699215</v>
      </c>
      <c r="CD32" s="73">
        <f>IF(OR($B9="",$B9=0),"",($K9*$C9*(1+'Property Summary'!$I$21)^(CD$13-1)))</f>
        <v>1252.4688916699215</v>
      </c>
      <c r="CE32" s="73">
        <f>IF(OR($B9="",$B9=0),"",($K9*$C9*(1+'Property Summary'!$I$21)^(CE$13-1)))</f>
        <v>1252.4688916699215</v>
      </c>
      <c r="CF32" s="73">
        <f>IF(OR($B9="",$B9=0),"",($K9*$C9*(1+'Property Summary'!$I$21)^(CF$13-1)))</f>
        <v>1252.4688916699215</v>
      </c>
      <c r="CG32" s="73">
        <f>IF(OR($B9="",$B9=0),"",($K9*$C9*(1+'Property Summary'!$I$21)^(CG$13-1)))</f>
        <v>1252.4688916699215</v>
      </c>
      <c r="CH32" s="73">
        <f>IF(OR($B9="",$B9=0),"",($K9*$C9*(1+'Property Summary'!$I$21)^(CH$13-1)))</f>
        <v>1252.4688916699215</v>
      </c>
      <c r="CI32" s="73">
        <f>IF(OR($B9="",$B9=0),"",($K9*$C9*(1+'Property Summary'!$I$21)^(CI$13-1)))</f>
        <v>1283.7806139616696</v>
      </c>
      <c r="CJ32" s="73">
        <f>IF(OR($B9="",$B9=0),"",($K9*$C9*(1+'Property Summary'!$I$21)^(CJ$13-1)))</f>
        <v>1283.7806139616696</v>
      </c>
      <c r="CK32" s="73">
        <f>IF(OR($B9="",$B9=0),"",($K9*$C9*(1+'Property Summary'!$I$21)^(CK$13-1)))</f>
        <v>1283.7806139616696</v>
      </c>
      <c r="CL32" s="73">
        <f>IF(OR($B9="",$B9=0),"",($K9*$C9*(1+'Property Summary'!$I$21)^(CL$13-1)))</f>
        <v>1283.7806139616696</v>
      </c>
      <c r="CM32" s="73">
        <f>IF(OR($B9="",$B9=0),"",($K9*$C9*(1+'Property Summary'!$I$21)^(CM$13-1)))</f>
        <v>1283.7806139616696</v>
      </c>
      <c r="CN32" s="73">
        <f>IF(OR($B9="",$B9=0),"",($K9*$C9*(1+'Property Summary'!$I$21)^(CN$13-1)))</f>
        <v>1283.7806139616696</v>
      </c>
      <c r="CO32" s="73">
        <f>IF(OR($B9="",$B9=0),"",($K9*$C9*(1+'Property Summary'!$I$21)^(CO$13-1)))</f>
        <v>1283.7806139616696</v>
      </c>
      <c r="CP32" s="73">
        <f>IF(OR($B9="",$B9=0),"",($K9*$C9*(1+'Property Summary'!$I$21)^(CP$13-1)))</f>
        <v>1283.7806139616696</v>
      </c>
      <c r="CQ32" s="73">
        <f>IF(OR($B9="",$B9=0),"",($K9*$C9*(1+'Property Summary'!$I$21)^(CQ$13-1)))</f>
        <v>1283.7806139616696</v>
      </c>
      <c r="CR32" s="73">
        <f>IF(OR($B9="",$B9=0),"",($K9*$C9*(1+'Property Summary'!$I$21)^(CR$13-1)))</f>
        <v>1283.7806139616696</v>
      </c>
      <c r="CS32" s="73">
        <f>IF(OR($B9="",$B9=0),"",($K9*$C9*(1+'Property Summary'!$I$21)^(CS$13-1)))</f>
        <v>1283.7806139616696</v>
      </c>
      <c r="CT32" s="73">
        <f>IF(OR($B9="",$B9=0),"",($K9*$C9*(1+'Property Summary'!$I$21)^(CT$13-1)))</f>
        <v>1283.7806139616696</v>
      </c>
      <c r="CU32" s="73">
        <f>IF(OR($B9="",$B9=0),"",($K9*$C9*(1+'Property Summary'!$I$21)^(CU$13-1)))</f>
        <v>1315.8751293107111</v>
      </c>
      <c r="CV32" s="73">
        <f>IF(OR($B9="",$B9=0),"",($K9*$C9*(1+'Property Summary'!$I$21)^(CV$13-1)))</f>
        <v>1315.8751293107111</v>
      </c>
      <c r="CW32" s="73">
        <f>IF(OR($B9="",$B9=0),"",($K9*$C9*(1+'Property Summary'!$I$21)^(CW$13-1)))</f>
        <v>1315.8751293107111</v>
      </c>
      <c r="CX32" s="73">
        <f>IF(OR($B9="",$B9=0),"",($K9*$C9*(1+'Property Summary'!$I$21)^(CX$13-1)))</f>
        <v>1315.8751293107111</v>
      </c>
      <c r="CY32" s="73">
        <f>IF(OR($B9="",$B9=0),"",($K9*$C9*(1+'Property Summary'!$I$21)^(CY$13-1)))</f>
        <v>1315.8751293107111</v>
      </c>
      <c r="CZ32" s="73">
        <f>IF(OR($B9="",$B9=0),"",($K9*$C9*(1+'Property Summary'!$I$21)^(CZ$13-1)))</f>
        <v>1315.8751293107111</v>
      </c>
      <c r="DA32" s="73">
        <f>IF(OR($B9="",$B9=0),"",($K9*$C9*(1+'Property Summary'!$I$21)^(DA$13-1)))</f>
        <v>1315.8751293107111</v>
      </c>
      <c r="DB32" s="73">
        <f>IF(OR($B9="",$B9=0),"",($K9*$C9*(1+'Property Summary'!$I$21)^(DB$13-1)))</f>
        <v>1315.8751293107111</v>
      </c>
      <c r="DC32" s="73">
        <f>IF(OR($B9="",$B9=0),"",($K9*$C9*(1+'Property Summary'!$I$21)^(DC$13-1)))</f>
        <v>1315.8751293107111</v>
      </c>
      <c r="DD32" s="73">
        <f>IF(OR($B9="",$B9=0),"",($K9*$C9*(1+'Property Summary'!$I$21)^(DD$13-1)))</f>
        <v>1315.8751293107111</v>
      </c>
      <c r="DE32" s="73">
        <f>IF(OR($B9="",$B9=0),"",($K9*$C9*(1+'Property Summary'!$I$21)^(DE$13-1)))</f>
        <v>1315.8751293107111</v>
      </c>
      <c r="DF32" s="73">
        <f>IF(OR($B9="",$B9=0),"",($K9*$C9*(1+'Property Summary'!$I$21)^(DF$13-1)))</f>
        <v>1315.8751293107111</v>
      </c>
      <c r="DG32" s="73">
        <f>IF(OR($B9="",$B9=0),"",($K9*$C9*(1+'Property Summary'!$I$21)^(DG$13-1)))</f>
        <v>1348.7720075434786</v>
      </c>
      <c r="DH32" s="73">
        <f>IF(OR($B9="",$B9=0),"",($K9*$C9*(1+'Property Summary'!$I$21)^(DH$13-1)))</f>
        <v>1348.7720075434786</v>
      </c>
      <c r="DI32" s="73">
        <f>IF(OR($B9="",$B9=0),"",($K9*$C9*(1+'Property Summary'!$I$21)^(DI$13-1)))</f>
        <v>1348.7720075434786</v>
      </c>
      <c r="DJ32" s="73">
        <f>IF(OR($B9="",$B9=0),"",($K9*$C9*(1+'Property Summary'!$I$21)^(DJ$13-1)))</f>
        <v>1348.7720075434786</v>
      </c>
      <c r="DK32" s="73">
        <f>IF(OR($B9="",$B9=0),"",($K9*$C9*(1+'Property Summary'!$I$21)^(DK$13-1)))</f>
        <v>1348.7720075434786</v>
      </c>
      <c r="DL32" s="73">
        <f>IF(OR($B9="",$B9=0),"",($K9*$C9*(1+'Property Summary'!$I$21)^(DL$13-1)))</f>
        <v>1348.7720075434786</v>
      </c>
      <c r="DM32" s="73">
        <f>IF(OR($B9="",$B9=0),"",($K9*$C9*(1+'Property Summary'!$I$21)^(DM$13-1)))</f>
        <v>1348.7720075434786</v>
      </c>
      <c r="DN32" s="73">
        <f>IF(OR($B9="",$B9=0),"",($K9*$C9*(1+'Property Summary'!$I$21)^(DN$13-1)))</f>
        <v>1348.7720075434786</v>
      </c>
      <c r="DO32" s="73">
        <f>IF(OR($B9="",$B9=0),"",($K9*$C9*(1+'Property Summary'!$I$21)^(DO$13-1)))</f>
        <v>1348.7720075434786</v>
      </c>
      <c r="DP32" s="73">
        <f>IF(OR($B9="",$B9=0),"",($K9*$C9*(1+'Property Summary'!$I$21)^(DP$13-1)))</f>
        <v>1348.7720075434786</v>
      </c>
      <c r="DQ32" s="73">
        <f>IF(OR($B9="",$B9=0),"",($K9*$C9*(1+'Property Summary'!$I$21)^(DQ$13-1)))</f>
        <v>1348.7720075434786</v>
      </c>
      <c r="DR32" s="73">
        <f>IF(OR($B9="",$B9=0),"",($K9*$C9*(1+'Property Summary'!$I$21)^(DR$13-1)))</f>
        <v>1348.7720075434786</v>
      </c>
      <c r="DS32" s="73">
        <f>IF(OR($B9="",$B9=0),"",($K9*$C9*(1+'Property Summary'!$I$21)^(DS$13-1)))</f>
        <v>1382.4913077320657</v>
      </c>
      <c r="DT32" s="73">
        <f>IF(OR($B9="",$B9=0),"",($K9*$C9*(1+'Property Summary'!$I$21)^(DT$13-1)))</f>
        <v>1382.4913077320657</v>
      </c>
      <c r="DU32" s="73">
        <f>IF(OR($B9="",$B9=0),"",($K9*$C9*(1+'Property Summary'!$I$21)^(DU$13-1)))</f>
        <v>1382.4913077320657</v>
      </c>
      <c r="DV32" s="73">
        <f>IF(OR($B9="",$B9=0),"",($K9*$C9*(1+'Property Summary'!$I$21)^(DV$13-1)))</f>
        <v>1382.4913077320657</v>
      </c>
      <c r="DW32" s="73">
        <f>IF(OR($B9="",$B9=0),"",($K9*$C9*(1+'Property Summary'!$I$21)^(DW$13-1)))</f>
        <v>1382.4913077320657</v>
      </c>
      <c r="DX32" s="73">
        <f>IF(OR($B9="",$B9=0),"",($K9*$C9*(1+'Property Summary'!$I$21)^(DX$13-1)))</f>
        <v>1382.4913077320657</v>
      </c>
      <c r="DY32" s="73">
        <f>IF(OR($B9="",$B9=0),"",($K9*$C9*(1+'Property Summary'!$I$21)^(DY$13-1)))</f>
        <v>1382.4913077320657</v>
      </c>
      <c r="DZ32" s="73">
        <f>IF(OR($B9="",$B9=0),"",($K9*$C9*(1+'Property Summary'!$I$21)^(DZ$13-1)))</f>
        <v>1382.4913077320657</v>
      </c>
      <c r="EA32" s="73">
        <f>IF(OR($B9="",$B9=0),"",($K9*$C9*(1+'Property Summary'!$I$21)^(EA$13-1)))</f>
        <v>1382.4913077320657</v>
      </c>
      <c r="EB32" s="73">
        <f>IF(OR($B9="",$B9=0),"",($K9*$C9*(1+'Property Summary'!$I$21)^(EB$13-1)))</f>
        <v>1382.4913077320657</v>
      </c>
      <c r="EC32" s="73">
        <f>IF(OR($B9="",$B9=0),"",($K9*$C9*(1+'Property Summary'!$I$21)^(EC$13-1)))</f>
        <v>1382.4913077320657</v>
      </c>
      <c r="ED32" s="73">
        <f>IF(OR($B9="",$B9=0),"",($K9*$C9*(1+'Property Summary'!$I$21)^(ED$13-1)))</f>
        <v>1382.4913077320657</v>
      </c>
      <c r="EE32" s="73">
        <f>IF(OR($B9="",$B9=0),"",($K9*$C9*(1+'Property Summary'!$I$21)^(EE$13-1)))</f>
        <v>1417.0535904253672</v>
      </c>
      <c r="EF32" s="73">
        <f>IF(OR($B9="",$B9=0),"",($K9*$C9*(1+'Property Summary'!$I$21)^(EF$13-1)))</f>
        <v>1417.0535904253672</v>
      </c>
      <c r="EG32" s="73">
        <f>IF(OR($B9="",$B9=0),"",($K9*$C9*(1+'Property Summary'!$I$21)^(EG$13-1)))</f>
        <v>1417.0535904253672</v>
      </c>
      <c r="EH32" s="73">
        <f>IF(OR($B9="",$B9=0),"",($K9*$C9*(1+'Property Summary'!$I$21)^(EH$13-1)))</f>
        <v>1417.0535904253672</v>
      </c>
      <c r="EI32" s="73">
        <f>IF(OR($B9="",$B9=0),"",($K9*$C9*(1+'Property Summary'!$I$21)^(EI$13-1)))</f>
        <v>1417.0535904253672</v>
      </c>
      <c r="EJ32" s="73">
        <f>IF(OR($B9="",$B9=0),"",($K9*$C9*(1+'Property Summary'!$I$21)^(EJ$13-1)))</f>
        <v>1417.0535904253672</v>
      </c>
      <c r="EK32" s="73">
        <f>IF(OR($B9="",$B9=0),"",($K9*$C9*(1+'Property Summary'!$I$21)^(EK$13-1)))</f>
        <v>1417.0535904253672</v>
      </c>
      <c r="EL32" s="73">
        <f>IF(OR($B9="",$B9=0),"",($K9*$C9*(1+'Property Summary'!$I$21)^(EL$13-1)))</f>
        <v>1417.0535904253672</v>
      </c>
      <c r="EM32" s="73">
        <f>IF(OR($B9="",$B9=0),"",($K9*$C9*(1+'Property Summary'!$I$21)^(EM$13-1)))</f>
        <v>1417.0535904253672</v>
      </c>
      <c r="EN32" s="73">
        <f>IF(OR($B9="",$B9=0),"",($K9*$C9*(1+'Property Summary'!$I$21)^(EN$13-1)))</f>
        <v>1417.0535904253672</v>
      </c>
      <c r="EO32" s="73">
        <f>IF(OR($B9="",$B9=0),"",($K9*$C9*(1+'Property Summary'!$I$21)^(EO$13-1)))</f>
        <v>1417.0535904253672</v>
      </c>
      <c r="EP32" s="73">
        <f>IF(OR($B9="",$B9=0),"",($K9*$C9*(1+'Property Summary'!$I$21)^(EP$13-1)))</f>
        <v>1417.0535904253672</v>
      </c>
      <c r="EQ32" s="73">
        <f>IF(OR($B9="",$B9=0),"",($K9*$C9*(1+'Property Summary'!$I$21)^(EQ$13-1)))</f>
        <v>1452.4799301860014</v>
      </c>
      <c r="ER32" s="73">
        <f>IF(OR($B9="",$B9=0),"",($K9*$C9*(1+'Property Summary'!$I$21)^(ER$13-1)))</f>
        <v>1452.4799301860014</v>
      </c>
      <c r="ES32" s="73">
        <f>IF(OR($B9="",$B9=0),"",($K9*$C9*(1+'Property Summary'!$I$21)^(ES$13-1)))</f>
        <v>1452.4799301860014</v>
      </c>
      <c r="ET32" s="73">
        <f>IF(OR($B9="",$B9=0),"",($K9*$C9*(1+'Property Summary'!$I$21)^(ET$13-1)))</f>
        <v>1452.4799301860014</v>
      </c>
      <c r="EU32" s="73">
        <f>IF(OR($B9="",$B9=0),"",($K9*$C9*(1+'Property Summary'!$I$21)^(EU$13-1)))</f>
        <v>1452.4799301860014</v>
      </c>
      <c r="EV32" s="73">
        <f>IF(OR($B9="",$B9=0),"",($K9*$C9*(1+'Property Summary'!$I$21)^(EV$13-1)))</f>
        <v>1452.4799301860014</v>
      </c>
      <c r="EW32" s="73">
        <f>IF(OR($B9="",$B9=0),"",($K9*$C9*(1+'Property Summary'!$I$21)^(EW$13-1)))</f>
        <v>1452.4799301860014</v>
      </c>
      <c r="EX32" s="73">
        <f>IF(OR($B9="",$B9=0),"",($K9*$C9*(1+'Property Summary'!$I$21)^(EX$13-1)))</f>
        <v>1452.4799301860014</v>
      </c>
      <c r="EY32" s="73">
        <f>IF(OR($B9="",$B9=0),"",($K9*$C9*(1+'Property Summary'!$I$21)^(EY$13-1)))</f>
        <v>1452.4799301860014</v>
      </c>
      <c r="EZ32" s="73">
        <f>IF(OR($B9="",$B9=0),"",($K9*$C9*(1+'Property Summary'!$I$21)^(EZ$13-1)))</f>
        <v>1452.4799301860014</v>
      </c>
      <c r="FA32" s="73">
        <f>IF(OR($B9="",$B9=0),"",($K9*$C9*(1+'Property Summary'!$I$21)^(FA$13-1)))</f>
        <v>1452.4799301860014</v>
      </c>
      <c r="FB32" s="73">
        <f>IF(OR($B9="",$B9=0),"",($K9*$C9*(1+'Property Summary'!$I$21)^(FB$13-1)))</f>
        <v>1452.4799301860014</v>
      </c>
      <c r="FC32" s="73">
        <f>IF(OR($B9="",$B9=0),"",($K9*$C9*(1+'Property Summary'!$I$21)^(FC$13-1)))</f>
        <v>1488.7919284406512</v>
      </c>
      <c r="FD32" s="73">
        <f>IF(OR($B9="",$B9=0),"",($K9*$C9*(1+'Property Summary'!$I$21)^(FD$13-1)))</f>
        <v>1488.7919284406512</v>
      </c>
      <c r="FE32" s="73">
        <f>IF(OR($B9="",$B9=0),"",($K9*$C9*(1+'Property Summary'!$I$21)^(FE$13-1)))</f>
        <v>1488.7919284406512</v>
      </c>
      <c r="FF32" s="73">
        <f>IF(OR($B9="",$B9=0),"",($K9*$C9*(1+'Property Summary'!$I$21)^(FF$13-1)))</f>
        <v>1488.7919284406512</v>
      </c>
      <c r="FG32" s="73">
        <f>IF(OR($B9="",$B9=0),"",($K9*$C9*(1+'Property Summary'!$I$21)^(FG$13-1)))</f>
        <v>1488.7919284406512</v>
      </c>
      <c r="FH32" s="73">
        <f>IF(OR($B9="",$B9=0),"",($K9*$C9*(1+'Property Summary'!$I$21)^(FH$13-1)))</f>
        <v>1488.7919284406512</v>
      </c>
      <c r="FI32" s="73">
        <f>IF(OR($B9="",$B9=0),"",($K9*$C9*(1+'Property Summary'!$I$21)^(FI$13-1)))</f>
        <v>1488.7919284406512</v>
      </c>
      <c r="FJ32" s="73">
        <f>IF(OR($B9="",$B9=0),"",($K9*$C9*(1+'Property Summary'!$I$21)^(FJ$13-1)))</f>
        <v>1488.7919284406512</v>
      </c>
      <c r="FK32" s="73">
        <f>IF(OR($B9="",$B9=0),"",($K9*$C9*(1+'Property Summary'!$I$21)^(FK$13-1)))</f>
        <v>1488.7919284406512</v>
      </c>
      <c r="FL32" s="73">
        <f>IF(OR($B9="",$B9=0),"",($K9*$C9*(1+'Property Summary'!$I$21)^(FL$13-1)))</f>
        <v>1488.7919284406512</v>
      </c>
      <c r="FM32" s="73">
        <f>IF(OR($B9="",$B9=0),"",($K9*$C9*(1+'Property Summary'!$I$21)^(FM$13-1)))</f>
        <v>1488.7919284406512</v>
      </c>
      <c r="FN32" s="73">
        <f>IF(OR($B9="",$B9=0),"",($K9*$C9*(1+'Property Summary'!$I$21)^(FN$13-1)))</f>
        <v>1488.7919284406512</v>
      </c>
      <c r="FO32" s="73">
        <f>IF(OR($B9="",$B9=0),"",($K9*$C9*(1+'Property Summary'!$I$21)^(FO$13-1)))</f>
        <v>1526.0117266516675</v>
      </c>
      <c r="FP32" s="73">
        <f>IF(OR($B9="",$B9=0),"",($K9*$C9*(1+'Property Summary'!$I$21)^(FP$13-1)))</f>
        <v>1526.0117266516675</v>
      </c>
      <c r="FQ32" s="73">
        <f>IF(OR($B9="",$B9=0),"",($K9*$C9*(1+'Property Summary'!$I$21)^(FQ$13-1)))</f>
        <v>1526.0117266516675</v>
      </c>
      <c r="FR32" s="73">
        <f>IF(OR($B9="",$B9=0),"",($K9*$C9*(1+'Property Summary'!$I$21)^(FR$13-1)))</f>
        <v>1526.0117266516675</v>
      </c>
      <c r="FS32" s="73">
        <f>IF(OR($B9="",$B9=0),"",($K9*$C9*(1+'Property Summary'!$I$21)^(FS$13-1)))</f>
        <v>1526.0117266516675</v>
      </c>
      <c r="FT32" s="73">
        <f>IF(OR($B9="",$B9=0),"",($K9*$C9*(1+'Property Summary'!$I$21)^(FT$13-1)))</f>
        <v>1526.0117266516675</v>
      </c>
      <c r="FU32" s="73">
        <f>IF(OR($B9="",$B9=0),"",($K9*$C9*(1+'Property Summary'!$I$21)^(FU$13-1)))</f>
        <v>1526.0117266516675</v>
      </c>
      <c r="FV32" s="73">
        <f>IF(OR($B9="",$B9=0),"",($K9*$C9*(1+'Property Summary'!$I$21)^(FV$13-1)))</f>
        <v>1526.0117266516675</v>
      </c>
      <c r="FW32" s="73">
        <f>IF(OR($B9="",$B9=0),"",($K9*$C9*(1+'Property Summary'!$I$21)^(FW$13-1)))</f>
        <v>1526.0117266516675</v>
      </c>
      <c r="FX32" s="73">
        <f>IF(OR($B9="",$B9=0),"",($K9*$C9*(1+'Property Summary'!$I$21)^(FX$13-1)))</f>
        <v>1526.0117266516675</v>
      </c>
      <c r="FY32" s="73">
        <f>IF(OR($B9="",$B9=0),"",($K9*$C9*(1+'Property Summary'!$I$21)^(FY$13-1)))</f>
        <v>1526.0117266516675</v>
      </c>
      <c r="FZ32" s="86">
        <f>IF(OR($B9="",$B9=0),"",($K9*$C9*(1+'Property Summary'!$I$21)^(FZ$13-1)))</f>
        <v>1526.0117266516675</v>
      </c>
    </row>
    <row r="33" spans="2:182" x14ac:dyDescent="0.2">
      <c r="B33" s="85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2"/>
    </row>
    <row r="34" spans="2:182" x14ac:dyDescent="0.2">
      <c r="B34" s="87" t="s">
        <v>132</v>
      </c>
      <c r="C34" s="88">
        <f>SUM(C28:C33)</f>
        <v>8100</v>
      </c>
      <c r="D34" s="88">
        <f t="shared" ref="D34:BO34" si="191">SUM(D28:D33)</f>
        <v>8100</v>
      </c>
      <c r="E34" s="88">
        <f t="shared" si="191"/>
        <v>8100</v>
      </c>
      <c r="F34" s="88">
        <f t="shared" si="191"/>
        <v>8100</v>
      </c>
      <c r="G34" s="88">
        <f t="shared" si="191"/>
        <v>8100</v>
      </c>
      <c r="H34" s="88">
        <f t="shared" si="191"/>
        <v>8100</v>
      </c>
      <c r="I34" s="88">
        <f t="shared" si="191"/>
        <v>8100</v>
      </c>
      <c r="J34" s="88">
        <f t="shared" si="191"/>
        <v>8100</v>
      </c>
      <c r="K34" s="88">
        <f t="shared" si="191"/>
        <v>8100</v>
      </c>
      <c r="L34" s="88">
        <f t="shared" si="191"/>
        <v>8100</v>
      </c>
      <c r="M34" s="88">
        <f t="shared" si="191"/>
        <v>8100</v>
      </c>
      <c r="N34" s="88">
        <f t="shared" si="191"/>
        <v>8100</v>
      </c>
      <c r="O34" s="88">
        <f t="shared" si="191"/>
        <v>8302.5</v>
      </c>
      <c r="P34" s="88">
        <f t="shared" si="191"/>
        <v>8302.5</v>
      </c>
      <c r="Q34" s="88">
        <f t="shared" si="191"/>
        <v>8302.5</v>
      </c>
      <c r="R34" s="88">
        <f t="shared" si="191"/>
        <v>8302.5</v>
      </c>
      <c r="S34" s="88">
        <f t="shared" si="191"/>
        <v>8302.5</v>
      </c>
      <c r="T34" s="88">
        <f t="shared" si="191"/>
        <v>8302.5</v>
      </c>
      <c r="U34" s="88">
        <f t="shared" si="191"/>
        <v>8302.5</v>
      </c>
      <c r="V34" s="88">
        <f t="shared" si="191"/>
        <v>8302.5</v>
      </c>
      <c r="W34" s="88">
        <f t="shared" si="191"/>
        <v>8302.5</v>
      </c>
      <c r="X34" s="88">
        <f t="shared" si="191"/>
        <v>8302.5</v>
      </c>
      <c r="Y34" s="88">
        <f t="shared" si="191"/>
        <v>8302.5</v>
      </c>
      <c r="Z34" s="88">
        <f t="shared" si="191"/>
        <v>8302.5</v>
      </c>
      <c r="AA34" s="88">
        <f t="shared" si="191"/>
        <v>8510.0625</v>
      </c>
      <c r="AB34" s="88">
        <f t="shared" si="191"/>
        <v>8510.0625</v>
      </c>
      <c r="AC34" s="88">
        <f t="shared" si="191"/>
        <v>8510.0625</v>
      </c>
      <c r="AD34" s="88">
        <f t="shared" si="191"/>
        <v>8510.0625</v>
      </c>
      <c r="AE34" s="88">
        <f t="shared" si="191"/>
        <v>8510.0625</v>
      </c>
      <c r="AF34" s="88">
        <f t="shared" si="191"/>
        <v>8510.0625</v>
      </c>
      <c r="AG34" s="88">
        <f t="shared" si="191"/>
        <v>8510.0625</v>
      </c>
      <c r="AH34" s="88">
        <f t="shared" si="191"/>
        <v>8510.0625</v>
      </c>
      <c r="AI34" s="88">
        <f t="shared" si="191"/>
        <v>8510.0625</v>
      </c>
      <c r="AJ34" s="88">
        <f t="shared" si="191"/>
        <v>8510.0625</v>
      </c>
      <c r="AK34" s="88">
        <f t="shared" si="191"/>
        <v>8510.0625</v>
      </c>
      <c r="AL34" s="88">
        <f t="shared" si="191"/>
        <v>8510.0625</v>
      </c>
      <c r="AM34" s="88">
        <f t="shared" si="191"/>
        <v>8722.8140624999978</v>
      </c>
      <c r="AN34" s="88">
        <f t="shared" si="191"/>
        <v>8722.8140624999978</v>
      </c>
      <c r="AO34" s="88">
        <f t="shared" si="191"/>
        <v>8722.8140624999978</v>
      </c>
      <c r="AP34" s="88">
        <f t="shared" si="191"/>
        <v>8722.8140624999978</v>
      </c>
      <c r="AQ34" s="88">
        <f t="shared" si="191"/>
        <v>8722.8140624999978</v>
      </c>
      <c r="AR34" s="88">
        <f t="shared" si="191"/>
        <v>8722.8140624999978</v>
      </c>
      <c r="AS34" s="88">
        <f t="shared" si="191"/>
        <v>8722.8140624999978</v>
      </c>
      <c r="AT34" s="88">
        <f t="shared" si="191"/>
        <v>8722.8140624999978</v>
      </c>
      <c r="AU34" s="88">
        <f t="shared" si="191"/>
        <v>8722.8140624999978</v>
      </c>
      <c r="AV34" s="88">
        <f t="shared" si="191"/>
        <v>8722.8140624999978</v>
      </c>
      <c r="AW34" s="88">
        <f t="shared" si="191"/>
        <v>8722.8140624999978</v>
      </c>
      <c r="AX34" s="88">
        <f t="shared" si="191"/>
        <v>8722.8140624999978</v>
      </c>
      <c r="AY34" s="88">
        <f t="shared" si="191"/>
        <v>8940.8844140624988</v>
      </c>
      <c r="AZ34" s="88">
        <f t="shared" si="191"/>
        <v>8940.8844140624988</v>
      </c>
      <c r="BA34" s="88">
        <f t="shared" si="191"/>
        <v>8940.8844140624988</v>
      </c>
      <c r="BB34" s="88">
        <f t="shared" si="191"/>
        <v>8940.8844140624988</v>
      </c>
      <c r="BC34" s="88">
        <f t="shared" si="191"/>
        <v>8940.8844140624988</v>
      </c>
      <c r="BD34" s="88">
        <f t="shared" si="191"/>
        <v>8940.8844140624988</v>
      </c>
      <c r="BE34" s="88">
        <f t="shared" si="191"/>
        <v>8940.8844140624988</v>
      </c>
      <c r="BF34" s="88">
        <f t="shared" si="191"/>
        <v>8940.8844140624988</v>
      </c>
      <c r="BG34" s="88">
        <f t="shared" si="191"/>
        <v>8940.8844140624988</v>
      </c>
      <c r="BH34" s="88">
        <f t="shared" si="191"/>
        <v>8940.8844140624988</v>
      </c>
      <c r="BI34" s="88">
        <f t="shared" si="191"/>
        <v>8940.8844140624988</v>
      </c>
      <c r="BJ34" s="88">
        <f t="shared" si="191"/>
        <v>8940.8844140624988</v>
      </c>
      <c r="BK34" s="88">
        <f t="shared" si="191"/>
        <v>9164.4065244140602</v>
      </c>
      <c r="BL34" s="88">
        <f t="shared" si="191"/>
        <v>9164.4065244140602</v>
      </c>
      <c r="BM34" s="88">
        <f t="shared" si="191"/>
        <v>9164.4065244140602</v>
      </c>
      <c r="BN34" s="88">
        <f t="shared" si="191"/>
        <v>9164.4065244140602</v>
      </c>
      <c r="BO34" s="88">
        <f t="shared" si="191"/>
        <v>9164.4065244140602</v>
      </c>
      <c r="BP34" s="88">
        <f t="shared" ref="BP34:EA34" si="192">SUM(BP28:BP33)</f>
        <v>9164.4065244140602</v>
      </c>
      <c r="BQ34" s="88">
        <f t="shared" si="192"/>
        <v>9164.4065244140602</v>
      </c>
      <c r="BR34" s="88">
        <f t="shared" si="192"/>
        <v>9164.4065244140602</v>
      </c>
      <c r="BS34" s="88">
        <f t="shared" si="192"/>
        <v>9164.4065244140602</v>
      </c>
      <c r="BT34" s="88">
        <f t="shared" si="192"/>
        <v>9164.4065244140602</v>
      </c>
      <c r="BU34" s="88">
        <f t="shared" si="192"/>
        <v>9164.4065244140602</v>
      </c>
      <c r="BV34" s="88">
        <f t="shared" si="192"/>
        <v>9164.4065244140602</v>
      </c>
      <c r="BW34" s="88">
        <f t="shared" si="192"/>
        <v>9393.5166875244104</v>
      </c>
      <c r="BX34" s="88">
        <f t="shared" si="192"/>
        <v>9393.5166875244104</v>
      </c>
      <c r="BY34" s="88">
        <f t="shared" si="192"/>
        <v>9393.5166875244104</v>
      </c>
      <c r="BZ34" s="88">
        <f t="shared" si="192"/>
        <v>9393.5166875244104</v>
      </c>
      <c r="CA34" s="88">
        <f t="shared" si="192"/>
        <v>9393.5166875244104</v>
      </c>
      <c r="CB34" s="88">
        <f t="shared" si="192"/>
        <v>9393.5166875244104</v>
      </c>
      <c r="CC34" s="88">
        <f t="shared" si="192"/>
        <v>9393.5166875244104</v>
      </c>
      <c r="CD34" s="88">
        <f t="shared" si="192"/>
        <v>9393.5166875244104</v>
      </c>
      <c r="CE34" s="88">
        <f t="shared" si="192"/>
        <v>9393.5166875244104</v>
      </c>
      <c r="CF34" s="88">
        <f t="shared" si="192"/>
        <v>9393.5166875244104</v>
      </c>
      <c r="CG34" s="88">
        <f t="shared" si="192"/>
        <v>9393.5166875244104</v>
      </c>
      <c r="CH34" s="88">
        <f t="shared" si="192"/>
        <v>9393.5166875244104</v>
      </c>
      <c r="CI34" s="88">
        <f t="shared" si="192"/>
        <v>9628.3546047125219</v>
      </c>
      <c r="CJ34" s="88">
        <f t="shared" si="192"/>
        <v>9628.3546047125219</v>
      </c>
      <c r="CK34" s="88">
        <f t="shared" si="192"/>
        <v>9628.3546047125219</v>
      </c>
      <c r="CL34" s="88">
        <f t="shared" si="192"/>
        <v>9628.3546047125219</v>
      </c>
      <c r="CM34" s="88">
        <f t="shared" si="192"/>
        <v>9628.3546047125219</v>
      </c>
      <c r="CN34" s="88">
        <f t="shared" si="192"/>
        <v>9628.3546047125219</v>
      </c>
      <c r="CO34" s="88">
        <f t="shared" si="192"/>
        <v>9628.3546047125219</v>
      </c>
      <c r="CP34" s="88">
        <f t="shared" si="192"/>
        <v>9628.3546047125219</v>
      </c>
      <c r="CQ34" s="88">
        <f t="shared" si="192"/>
        <v>9628.3546047125219</v>
      </c>
      <c r="CR34" s="88">
        <f t="shared" si="192"/>
        <v>9628.3546047125219</v>
      </c>
      <c r="CS34" s="88">
        <f t="shared" si="192"/>
        <v>9628.3546047125219</v>
      </c>
      <c r="CT34" s="88">
        <f t="shared" si="192"/>
        <v>9628.3546047125219</v>
      </c>
      <c r="CU34" s="88">
        <f t="shared" si="192"/>
        <v>9869.0634698303329</v>
      </c>
      <c r="CV34" s="88">
        <f t="shared" si="192"/>
        <v>9869.0634698303329</v>
      </c>
      <c r="CW34" s="88">
        <f t="shared" si="192"/>
        <v>9869.0634698303329</v>
      </c>
      <c r="CX34" s="88">
        <f t="shared" si="192"/>
        <v>9869.0634698303329</v>
      </c>
      <c r="CY34" s="88">
        <f t="shared" si="192"/>
        <v>9869.0634698303329</v>
      </c>
      <c r="CZ34" s="88">
        <f t="shared" si="192"/>
        <v>9869.0634698303329</v>
      </c>
      <c r="DA34" s="88">
        <f t="shared" si="192"/>
        <v>9869.0634698303329</v>
      </c>
      <c r="DB34" s="88">
        <f t="shared" si="192"/>
        <v>9869.0634698303329</v>
      </c>
      <c r="DC34" s="88">
        <f t="shared" si="192"/>
        <v>9869.0634698303329</v>
      </c>
      <c r="DD34" s="88">
        <f t="shared" si="192"/>
        <v>9869.0634698303329</v>
      </c>
      <c r="DE34" s="88">
        <f t="shared" si="192"/>
        <v>9869.0634698303329</v>
      </c>
      <c r="DF34" s="88">
        <f t="shared" si="192"/>
        <v>9869.0634698303329</v>
      </c>
      <c r="DG34" s="88">
        <f t="shared" si="192"/>
        <v>10115.790056576092</v>
      </c>
      <c r="DH34" s="88">
        <f t="shared" si="192"/>
        <v>10115.790056576092</v>
      </c>
      <c r="DI34" s="88">
        <f t="shared" si="192"/>
        <v>10115.790056576092</v>
      </c>
      <c r="DJ34" s="88">
        <f t="shared" si="192"/>
        <v>10115.790056576092</v>
      </c>
      <c r="DK34" s="88">
        <f t="shared" si="192"/>
        <v>10115.790056576092</v>
      </c>
      <c r="DL34" s="88">
        <f t="shared" si="192"/>
        <v>10115.790056576092</v>
      </c>
      <c r="DM34" s="88">
        <f t="shared" si="192"/>
        <v>10115.790056576092</v>
      </c>
      <c r="DN34" s="88">
        <f t="shared" si="192"/>
        <v>10115.790056576092</v>
      </c>
      <c r="DO34" s="88">
        <f t="shared" si="192"/>
        <v>10115.790056576092</v>
      </c>
      <c r="DP34" s="88">
        <f t="shared" si="192"/>
        <v>10115.790056576092</v>
      </c>
      <c r="DQ34" s="88">
        <f t="shared" si="192"/>
        <v>10115.790056576092</v>
      </c>
      <c r="DR34" s="88">
        <f t="shared" si="192"/>
        <v>10115.790056576092</v>
      </c>
      <c r="DS34" s="88">
        <f t="shared" si="192"/>
        <v>10368.684807990492</v>
      </c>
      <c r="DT34" s="88">
        <f t="shared" si="192"/>
        <v>10368.684807990492</v>
      </c>
      <c r="DU34" s="88">
        <f t="shared" si="192"/>
        <v>10368.684807990492</v>
      </c>
      <c r="DV34" s="88">
        <f t="shared" si="192"/>
        <v>10368.684807990492</v>
      </c>
      <c r="DW34" s="88">
        <f t="shared" si="192"/>
        <v>10368.684807990492</v>
      </c>
      <c r="DX34" s="88">
        <f t="shared" si="192"/>
        <v>10368.684807990492</v>
      </c>
      <c r="DY34" s="88">
        <f t="shared" si="192"/>
        <v>10368.684807990492</v>
      </c>
      <c r="DZ34" s="88">
        <f t="shared" si="192"/>
        <v>10368.684807990492</v>
      </c>
      <c r="EA34" s="88">
        <f t="shared" si="192"/>
        <v>10368.684807990492</v>
      </c>
      <c r="EB34" s="88">
        <f t="shared" ref="EB34:FZ34" si="193">SUM(EB28:EB33)</f>
        <v>10368.684807990492</v>
      </c>
      <c r="EC34" s="88">
        <f t="shared" si="193"/>
        <v>10368.684807990492</v>
      </c>
      <c r="ED34" s="88">
        <f t="shared" si="193"/>
        <v>10368.684807990492</v>
      </c>
      <c r="EE34" s="88">
        <f t="shared" si="193"/>
        <v>10627.901928190255</v>
      </c>
      <c r="EF34" s="88">
        <f t="shared" si="193"/>
        <v>10627.901928190255</v>
      </c>
      <c r="EG34" s="88">
        <f t="shared" si="193"/>
        <v>10627.901928190255</v>
      </c>
      <c r="EH34" s="88">
        <f t="shared" si="193"/>
        <v>10627.901928190255</v>
      </c>
      <c r="EI34" s="88">
        <f t="shared" si="193"/>
        <v>10627.901928190255</v>
      </c>
      <c r="EJ34" s="88">
        <f t="shared" si="193"/>
        <v>10627.901928190255</v>
      </c>
      <c r="EK34" s="88">
        <f t="shared" si="193"/>
        <v>10627.901928190255</v>
      </c>
      <c r="EL34" s="88">
        <f t="shared" si="193"/>
        <v>10627.901928190255</v>
      </c>
      <c r="EM34" s="88">
        <f t="shared" si="193"/>
        <v>10627.901928190255</v>
      </c>
      <c r="EN34" s="88">
        <f t="shared" si="193"/>
        <v>10627.901928190255</v>
      </c>
      <c r="EO34" s="88">
        <f t="shared" si="193"/>
        <v>10627.901928190255</v>
      </c>
      <c r="EP34" s="88">
        <f t="shared" si="193"/>
        <v>10627.901928190255</v>
      </c>
      <c r="EQ34" s="88">
        <f t="shared" si="193"/>
        <v>10893.599476395011</v>
      </c>
      <c r="ER34" s="88">
        <f t="shared" si="193"/>
        <v>10893.599476395011</v>
      </c>
      <c r="ES34" s="88">
        <f t="shared" si="193"/>
        <v>10893.599476395011</v>
      </c>
      <c r="ET34" s="88">
        <f t="shared" si="193"/>
        <v>10893.599476395011</v>
      </c>
      <c r="EU34" s="88">
        <f t="shared" si="193"/>
        <v>10893.599476395011</v>
      </c>
      <c r="EV34" s="88">
        <f t="shared" si="193"/>
        <v>10893.599476395011</v>
      </c>
      <c r="EW34" s="88">
        <f t="shared" si="193"/>
        <v>10893.599476395011</v>
      </c>
      <c r="EX34" s="88">
        <f t="shared" si="193"/>
        <v>10893.599476395011</v>
      </c>
      <c r="EY34" s="88">
        <f t="shared" si="193"/>
        <v>10893.599476395011</v>
      </c>
      <c r="EZ34" s="88">
        <f t="shared" si="193"/>
        <v>10893.599476395011</v>
      </c>
      <c r="FA34" s="88">
        <f t="shared" si="193"/>
        <v>10893.599476395011</v>
      </c>
      <c r="FB34" s="88">
        <f t="shared" si="193"/>
        <v>10893.599476395011</v>
      </c>
      <c r="FC34" s="88">
        <f t="shared" si="193"/>
        <v>11165.939463304885</v>
      </c>
      <c r="FD34" s="88">
        <f t="shared" si="193"/>
        <v>11165.939463304885</v>
      </c>
      <c r="FE34" s="88">
        <f t="shared" si="193"/>
        <v>11165.939463304885</v>
      </c>
      <c r="FF34" s="88">
        <f t="shared" si="193"/>
        <v>11165.939463304885</v>
      </c>
      <c r="FG34" s="88">
        <f t="shared" si="193"/>
        <v>11165.939463304885</v>
      </c>
      <c r="FH34" s="88">
        <f t="shared" si="193"/>
        <v>11165.939463304885</v>
      </c>
      <c r="FI34" s="88">
        <f t="shared" si="193"/>
        <v>11165.939463304885</v>
      </c>
      <c r="FJ34" s="88">
        <f t="shared" si="193"/>
        <v>11165.939463304885</v>
      </c>
      <c r="FK34" s="88">
        <f t="shared" si="193"/>
        <v>11165.939463304885</v>
      </c>
      <c r="FL34" s="88">
        <f t="shared" si="193"/>
        <v>11165.939463304885</v>
      </c>
      <c r="FM34" s="88">
        <f t="shared" si="193"/>
        <v>11165.939463304885</v>
      </c>
      <c r="FN34" s="88">
        <f t="shared" si="193"/>
        <v>11165.939463304885</v>
      </c>
      <c r="FO34" s="88">
        <f t="shared" si="193"/>
        <v>11445.087949887507</v>
      </c>
      <c r="FP34" s="88">
        <f t="shared" si="193"/>
        <v>11445.087949887507</v>
      </c>
      <c r="FQ34" s="88">
        <f t="shared" si="193"/>
        <v>11445.087949887507</v>
      </c>
      <c r="FR34" s="88">
        <f t="shared" si="193"/>
        <v>11445.087949887507</v>
      </c>
      <c r="FS34" s="88">
        <f t="shared" si="193"/>
        <v>11445.087949887507</v>
      </c>
      <c r="FT34" s="88">
        <f t="shared" si="193"/>
        <v>11445.087949887507</v>
      </c>
      <c r="FU34" s="88">
        <f t="shared" si="193"/>
        <v>11445.087949887507</v>
      </c>
      <c r="FV34" s="88">
        <f t="shared" si="193"/>
        <v>11445.087949887507</v>
      </c>
      <c r="FW34" s="88">
        <f t="shared" si="193"/>
        <v>11445.087949887507</v>
      </c>
      <c r="FX34" s="88">
        <f t="shared" si="193"/>
        <v>11445.087949887507</v>
      </c>
      <c r="FY34" s="88">
        <f t="shared" si="193"/>
        <v>11445.087949887507</v>
      </c>
      <c r="FZ34" s="89">
        <f t="shared" si="193"/>
        <v>11445.087949887507</v>
      </c>
    </row>
    <row r="36" spans="2:182" x14ac:dyDescent="0.2">
      <c r="B36" s="74" t="s">
        <v>135</v>
      </c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6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</row>
    <row r="37" spans="2:182" x14ac:dyDescent="0.2">
      <c r="B37" s="77" t="s">
        <v>87</v>
      </c>
      <c r="C37" s="78">
        <f>ROUNDUP(C38/12,0)</f>
        <v>1</v>
      </c>
      <c r="D37" s="78">
        <f t="shared" ref="D37:BO37" si="194">ROUNDUP(D38/12,0)</f>
        <v>1</v>
      </c>
      <c r="E37" s="78">
        <f t="shared" si="194"/>
        <v>1</v>
      </c>
      <c r="F37" s="78">
        <f t="shared" si="194"/>
        <v>1</v>
      </c>
      <c r="G37" s="78">
        <f t="shared" si="194"/>
        <v>1</v>
      </c>
      <c r="H37" s="78">
        <f t="shared" si="194"/>
        <v>1</v>
      </c>
      <c r="I37" s="78">
        <f t="shared" si="194"/>
        <v>1</v>
      </c>
      <c r="J37" s="78">
        <f t="shared" si="194"/>
        <v>1</v>
      </c>
      <c r="K37" s="78">
        <f t="shared" si="194"/>
        <v>1</v>
      </c>
      <c r="L37" s="78">
        <f t="shared" si="194"/>
        <v>1</v>
      </c>
      <c r="M37" s="78">
        <f t="shared" si="194"/>
        <v>1</v>
      </c>
      <c r="N37" s="78">
        <f t="shared" si="194"/>
        <v>1</v>
      </c>
      <c r="O37" s="78">
        <f t="shared" si="194"/>
        <v>2</v>
      </c>
      <c r="P37" s="78">
        <f t="shared" si="194"/>
        <v>2</v>
      </c>
      <c r="Q37" s="78">
        <f t="shared" si="194"/>
        <v>2</v>
      </c>
      <c r="R37" s="78">
        <f t="shared" si="194"/>
        <v>2</v>
      </c>
      <c r="S37" s="78">
        <f t="shared" si="194"/>
        <v>2</v>
      </c>
      <c r="T37" s="78">
        <f t="shared" si="194"/>
        <v>2</v>
      </c>
      <c r="U37" s="78">
        <f t="shared" si="194"/>
        <v>2</v>
      </c>
      <c r="V37" s="78">
        <f t="shared" si="194"/>
        <v>2</v>
      </c>
      <c r="W37" s="78">
        <f t="shared" si="194"/>
        <v>2</v>
      </c>
      <c r="X37" s="78">
        <f t="shared" si="194"/>
        <v>2</v>
      </c>
      <c r="Y37" s="78">
        <f t="shared" si="194"/>
        <v>2</v>
      </c>
      <c r="Z37" s="78">
        <f t="shared" si="194"/>
        <v>2</v>
      </c>
      <c r="AA37" s="78">
        <f t="shared" si="194"/>
        <v>3</v>
      </c>
      <c r="AB37" s="78">
        <f t="shared" si="194"/>
        <v>3</v>
      </c>
      <c r="AC37" s="78">
        <f t="shared" si="194"/>
        <v>3</v>
      </c>
      <c r="AD37" s="78">
        <f t="shared" si="194"/>
        <v>3</v>
      </c>
      <c r="AE37" s="78">
        <f t="shared" si="194"/>
        <v>3</v>
      </c>
      <c r="AF37" s="78">
        <f t="shared" si="194"/>
        <v>3</v>
      </c>
      <c r="AG37" s="78">
        <f t="shared" si="194"/>
        <v>3</v>
      </c>
      <c r="AH37" s="78">
        <f t="shared" si="194"/>
        <v>3</v>
      </c>
      <c r="AI37" s="78">
        <f t="shared" si="194"/>
        <v>3</v>
      </c>
      <c r="AJ37" s="78">
        <f t="shared" si="194"/>
        <v>3</v>
      </c>
      <c r="AK37" s="78">
        <f t="shared" si="194"/>
        <v>3</v>
      </c>
      <c r="AL37" s="78">
        <f t="shared" si="194"/>
        <v>3</v>
      </c>
      <c r="AM37" s="78">
        <f t="shared" si="194"/>
        <v>4</v>
      </c>
      <c r="AN37" s="78">
        <f t="shared" si="194"/>
        <v>4</v>
      </c>
      <c r="AO37" s="78">
        <f t="shared" si="194"/>
        <v>4</v>
      </c>
      <c r="AP37" s="78">
        <f t="shared" si="194"/>
        <v>4</v>
      </c>
      <c r="AQ37" s="78">
        <f t="shared" si="194"/>
        <v>4</v>
      </c>
      <c r="AR37" s="78">
        <f t="shared" si="194"/>
        <v>4</v>
      </c>
      <c r="AS37" s="78">
        <f t="shared" si="194"/>
        <v>4</v>
      </c>
      <c r="AT37" s="78">
        <f t="shared" si="194"/>
        <v>4</v>
      </c>
      <c r="AU37" s="78">
        <f t="shared" si="194"/>
        <v>4</v>
      </c>
      <c r="AV37" s="78">
        <f t="shared" si="194"/>
        <v>4</v>
      </c>
      <c r="AW37" s="78">
        <f t="shared" si="194"/>
        <v>4</v>
      </c>
      <c r="AX37" s="78">
        <f t="shared" si="194"/>
        <v>4</v>
      </c>
      <c r="AY37" s="78">
        <f t="shared" si="194"/>
        <v>5</v>
      </c>
      <c r="AZ37" s="78">
        <f t="shared" si="194"/>
        <v>5</v>
      </c>
      <c r="BA37" s="78">
        <f t="shared" si="194"/>
        <v>5</v>
      </c>
      <c r="BB37" s="78">
        <f t="shared" si="194"/>
        <v>5</v>
      </c>
      <c r="BC37" s="78">
        <f t="shared" si="194"/>
        <v>5</v>
      </c>
      <c r="BD37" s="78">
        <f t="shared" si="194"/>
        <v>5</v>
      </c>
      <c r="BE37" s="78">
        <f t="shared" si="194"/>
        <v>5</v>
      </c>
      <c r="BF37" s="78">
        <f t="shared" si="194"/>
        <v>5</v>
      </c>
      <c r="BG37" s="78">
        <f t="shared" si="194"/>
        <v>5</v>
      </c>
      <c r="BH37" s="78">
        <f t="shared" si="194"/>
        <v>5</v>
      </c>
      <c r="BI37" s="78">
        <f t="shared" si="194"/>
        <v>5</v>
      </c>
      <c r="BJ37" s="78">
        <f t="shared" si="194"/>
        <v>5</v>
      </c>
      <c r="BK37" s="78">
        <f t="shared" si="194"/>
        <v>6</v>
      </c>
      <c r="BL37" s="78">
        <f t="shared" si="194"/>
        <v>6</v>
      </c>
      <c r="BM37" s="78">
        <f t="shared" si="194"/>
        <v>6</v>
      </c>
      <c r="BN37" s="78">
        <f t="shared" si="194"/>
        <v>6</v>
      </c>
      <c r="BO37" s="78">
        <f t="shared" si="194"/>
        <v>6</v>
      </c>
      <c r="BP37" s="78">
        <f t="shared" ref="BP37:EA37" si="195">ROUNDUP(BP38/12,0)</f>
        <v>6</v>
      </c>
      <c r="BQ37" s="78">
        <f t="shared" si="195"/>
        <v>6</v>
      </c>
      <c r="BR37" s="78">
        <f t="shared" si="195"/>
        <v>6</v>
      </c>
      <c r="BS37" s="78">
        <f t="shared" si="195"/>
        <v>6</v>
      </c>
      <c r="BT37" s="78">
        <f t="shared" si="195"/>
        <v>6</v>
      </c>
      <c r="BU37" s="78">
        <f t="shared" si="195"/>
        <v>6</v>
      </c>
      <c r="BV37" s="78">
        <f t="shared" si="195"/>
        <v>6</v>
      </c>
      <c r="BW37" s="78">
        <f t="shared" si="195"/>
        <v>7</v>
      </c>
      <c r="BX37" s="78">
        <f t="shared" si="195"/>
        <v>7</v>
      </c>
      <c r="BY37" s="78">
        <f t="shared" si="195"/>
        <v>7</v>
      </c>
      <c r="BZ37" s="78">
        <f t="shared" si="195"/>
        <v>7</v>
      </c>
      <c r="CA37" s="78">
        <f t="shared" si="195"/>
        <v>7</v>
      </c>
      <c r="CB37" s="78">
        <f t="shared" si="195"/>
        <v>7</v>
      </c>
      <c r="CC37" s="78">
        <f t="shared" si="195"/>
        <v>7</v>
      </c>
      <c r="CD37" s="78">
        <f t="shared" si="195"/>
        <v>7</v>
      </c>
      <c r="CE37" s="78">
        <f t="shared" si="195"/>
        <v>7</v>
      </c>
      <c r="CF37" s="78">
        <f t="shared" si="195"/>
        <v>7</v>
      </c>
      <c r="CG37" s="78">
        <f t="shared" si="195"/>
        <v>7</v>
      </c>
      <c r="CH37" s="78">
        <f t="shared" si="195"/>
        <v>7</v>
      </c>
      <c r="CI37" s="78">
        <f t="shared" si="195"/>
        <v>8</v>
      </c>
      <c r="CJ37" s="78">
        <f t="shared" si="195"/>
        <v>8</v>
      </c>
      <c r="CK37" s="78">
        <f t="shared" si="195"/>
        <v>8</v>
      </c>
      <c r="CL37" s="78">
        <f t="shared" si="195"/>
        <v>8</v>
      </c>
      <c r="CM37" s="78">
        <f t="shared" si="195"/>
        <v>8</v>
      </c>
      <c r="CN37" s="78">
        <f t="shared" si="195"/>
        <v>8</v>
      </c>
      <c r="CO37" s="78">
        <f t="shared" si="195"/>
        <v>8</v>
      </c>
      <c r="CP37" s="78">
        <f t="shared" si="195"/>
        <v>8</v>
      </c>
      <c r="CQ37" s="78">
        <f t="shared" si="195"/>
        <v>8</v>
      </c>
      <c r="CR37" s="78">
        <f t="shared" si="195"/>
        <v>8</v>
      </c>
      <c r="CS37" s="78">
        <f t="shared" si="195"/>
        <v>8</v>
      </c>
      <c r="CT37" s="78">
        <f t="shared" si="195"/>
        <v>8</v>
      </c>
      <c r="CU37" s="78">
        <f t="shared" si="195"/>
        <v>9</v>
      </c>
      <c r="CV37" s="78">
        <f t="shared" si="195"/>
        <v>9</v>
      </c>
      <c r="CW37" s="78">
        <f t="shared" si="195"/>
        <v>9</v>
      </c>
      <c r="CX37" s="78">
        <f t="shared" si="195"/>
        <v>9</v>
      </c>
      <c r="CY37" s="78">
        <f t="shared" si="195"/>
        <v>9</v>
      </c>
      <c r="CZ37" s="78">
        <f t="shared" si="195"/>
        <v>9</v>
      </c>
      <c r="DA37" s="78">
        <f t="shared" si="195"/>
        <v>9</v>
      </c>
      <c r="DB37" s="78">
        <f t="shared" si="195"/>
        <v>9</v>
      </c>
      <c r="DC37" s="78">
        <f t="shared" si="195"/>
        <v>9</v>
      </c>
      <c r="DD37" s="78">
        <f t="shared" si="195"/>
        <v>9</v>
      </c>
      <c r="DE37" s="78">
        <f t="shared" si="195"/>
        <v>9</v>
      </c>
      <c r="DF37" s="78">
        <f t="shared" si="195"/>
        <v>9</v>
      </c>
      <c r="DG37" s="78">
        <f t="shared" si="195"/>
        <v>10</v>
      </c>
      <c r="DH37" s="78">
        <f t="shared" si="195"/>
        <v>10</v>
      </c>
      <c r="DI37" s="78">
        <f t="shared" si="195"/>
        <v>10</v>
      </c>
      <c r="DJ37" s="78">
        <f t="shared" si="195"/>
        <v>10</v>
      </c>
      <c r="DK37" s="78">
        <f t="shared" si="195"/>
        <v>10</v>
      </c>
      <c r="DL37" s="78">
        <f t="shared" si="195"/>
        <v>10</v>
      </c>
      <c r="DM37" s="78">
        <f t="shared" si="195"/>
        <v>10</v>
      </c>
      <c r="DN37" s="78">
        <f t="shared" si="195"/>
        <v>10</v>
      </c>
      <c r="DO37" s="78">
        <f t="shared" si="195"/>
        <v>10</v>
      </c>
      <c r="DP37" s="78">
        <f t="shared" si="195"/>
        <v>10</v>
      </c>
      <c r="DQ37" s="78">
        <f t="shared" si="195"/>
        <v>10</v>
      </c>
      <c r="DR37" s="78">
        <f t="shared" si="195"/>
        <v>10</v>
      </c>
      <c r="DS37" s="78">
        <f t="shared" si="195"/>
        <v>11</v>
      </c>
      <c r="DT37" s="78">
        <f t="shared" si="195"/>
        <v>11</v>
      </c>
      <c r="DU37" s="78">
        <f t="shared" si="195"/>
        <v>11</v>
      </c>
      <c r="DV37" s="78">
        <f t="shared" si="195"/>
        <v>11</v>
      </c>
      <c r="DW37" s="78">
        <f t="shared" si="195"/>
        <v>11</v>
      </c>
      <c r="DX37" s="78">
        <f t="shared" si="195"/>
        <v>11</v>
      </c>
      <c r="DY37" s="78">
        <f t="shared" si="195"/>
        <v>11</v>
      </c>
      <c r="DZ37" s="78">
        <f t="shared" si="195"/>
        <v>11</v>
      </c>
      <c r="EA37" s="78">
        <f t="shared" si="195"/>
        <v>11</v>
      </c>
      <c r="EB37" s="78">
        <f t="shared" ref="EB37:FZ37" si="196">ROUNDUP(EB38/12,0)</f>
        <v>11</v>
      </c>
      <c r="EC37" s="78">
        <f t="shared" si="196"/>
        <v>11</v>
      </c>
      <c r="ED37" s="78">
        <f t="shared" si="196"/>
        <v>11</v>
      </c>
      <c r="EE37" s="78">
        <f t="shared" si="196"/>
        <v>12</v>
      </c>
      <c r="EF37" s="78">
        <f t="shared" si="196"/>
        <v>12</v>
      </c>
      <c r="EG37" s="78">
        <f t="shared" si="196"/>
        <v>12</v>
      </c>
      <c r="EH37" s="78">
        <f t="shared" si="196"/>
        <v>12</v>
      </c>
      <c r="EI37" s="78">
        <f t="shared" si="196"/>
        <v>12</v>
      </c>
      <c r="EJ37" s="78">
        <f t="shared" si="196"/>
        <v>12</v>
      </c>
      <c r="EK37" s="78">
        <f t="shared" si="196"/>
        <v>12</v>
      </c>
      <c r="EL37" s="78">
        <f t="shared" si="196"/>
        <v>12</v>
      </c>
      <c r="EM37" s="78">
        <f t="shared" si="196"/>
        <v>12</v>
      </c>
      <c r="EN37" s="78">
        <f t="shared" si="196"/>
        <v>12</v>
      </c>
      <c r="EO37" s="78">
        <f t="shared" si="196"/>
        <v>12</v>
      </c>
      <c r="EP37" s="78">
        <f t="shared" si="196"/>
        <v>12</v>
      </c>
      <c r="EQ37" s="78">
        <f t="shared" si="196"/>
        <v>13</v>
      </c>
      <c r="ER37" s="78">
        <f t="shared" si="196"/>
        <v>13</v>
      </c>
      <c r="ES37" s="78">
        <f t="shared" si="196"/>
        <v>13</v>
      </c>
      <c r="ET37" s="78">
        <f t="shared" si="196"/>
        <v>13</v>
      </c>
      <c r="EU37" s="78">
        <f t="shared" si="196"/>
        <v>13</v>
      </c>
      <c r="EV37" s="78">
        <f t="shared" si="196"/>
        <v>13</v>
      </c>
      <c r="EW37" s="78">
        <f t="shared" si="196"/>
        <v>13</v>
      </c>
      <c r="EX37" s="78">
        <f t="shared" si="196"/>
        <v>13</v>
      </c>
      <c r="EY37" s="78">
        <f t="shared" si="196"/>
        <v>13</v>
      </c>
      <c r="EZ37" s="78">
        <f t="shared" si="196"/>
        <v>13</v>
      </c>
      <c r="FA37" s="78">
        <f t="shared" si="196"/>
        <v>13</v>
      </c>
      <c r="FB37" s="78">
        <f t="shared" si="196"/>
        <v>13</v>
      </c>
      <c r="FC37" s="78">
        <f t="shared" si="196"/>
        <v>14</v>
      </c>
      <c r="FD37" s="78">
        <f t="shared" si="196"/>
        <v>14</v>
      </c>
      <c r="FE37" s="78">
        <f t="shared" si="196"/>
        <v>14</v>
      </c>
      <c r="FF37" s="78">
        <f t="shared" si="196"/>
        <v>14</v>
      </c>
      <c r="FG37" s="78">
        <f t="shared" si="196"/>
        <v>14</v>
      </c>
      <c r="FH37" s="78">
        <f t="shared" si="196"/>
        <v>14</v>
      </c>
      <c r="FI37" s="78">
        <f t="shared" si="196"/>
        <v>14</v>
      </c>
      <c r="FJ37" s="78">
        <f t="shared" si="196"/>
        <v>14</v>
      </c>
      <c r="FK37" s="78">
        <f t="shared" si="196"/>
        <v>14</v>
      </c>
      <c r="FL37" s="78">
        <f t="shared" si="196"/>
        <v>14</v>
      </c>
      <c r="FM37" s="78">
        <f t="shared" si="196"/>
        <v>14</v>
      </c>
      <c r="FN37" s="78">
        <f t="shared" si="196"/>
        <v>14</v>
      </c>
      <c r="FO37" s="78">
        <f t="shared" si="196"/>
        <v>15</v>
      </c>
      <c r="FP37" s="78">
        <f t="shared" si="196"/>
        <v>15</v>
      </c>
      <c r="FQ37" s="78">
        <f t="shared" si="196"/>
        <v>15</v>
      </c>
      <c r="FR37" s="78">
        <f t="shared" si="196"/>
        <v>15</v>
      </c>
      <c r="FS37" s="78">
        <f t="shared" si="196"/>
        <v>15</v>
      </c>
      <c r="FT37" s="78">
        <f t="shared" si="196"/>
        <v>15</v>
      </c>
      <c r="FU37" s="78">
        <f t="shared" si="196"/>
        <v>15</v>
      </c>
      <c r="FV37" s="78">
        <f t="shared" si="196"/>
        <v>15</v>
      </c>
      <c r="FW37" s="78">
        <f t="shared" si="196"/>
        <v>15</v>
      </c>
      <c r="FX37" s="78">
        <f t="shared" si="196"/>
        <v>15</v>
      </c>
      <c r="FY37" s="78">
        <f t="shared" si="196"/>
        <v>15</v>
      </c>
      <c r="FZ37" s="79">
        <f t="shared" si="196"/>
        <v>15</v>
      </c>
    </row>
    <row r="38" spans="2:182" x14ac:dyDescent="0.2">
      <c r="B38" s="80" t="s">
        <v>130</v>
      </c>
      <c r="C38" s="81">
        <v>1</v>
      </c>
      <c r="D38" s="81">
        <f>C38+1</f>
        <v>2</v>
      </c>
      <c r="E38" s="81">
        <f t="shared" ref="E38:BP38" si="197">D38+1</f>
        <v>3</v>
      </c>
      <c r="F38" s="81">
        <f t="shared" si="197"/>
        <v>4</v>
      </c>
      <c r="G38" s="81">
        <f t="shared" si="197"/>
        <v>5</v>
      </c>
      <c r="H38" s="81">
        <f t="shared" si="197"/>
        <v>6</v>
      </c>
      <c r="I38" s="81">
        <f t="shared" si="197"/>
        <v>7</v>
      </c>
      <c r="J38" s="81">
        <f t="shared" si="197"/>
        <v>8</v>
      </c>
      <c r="K38" s="81">
        <f t="shared" si="197"/>
        <v>9</v>
      </c>
      <c r="L38" s="81">
        <f t="shared" si="197"/>
        <v>10</v>
      </c>
      <c r="M38" s="81">
        <f t="shared" si="197"/>
        <v>11</v>
      </c>
      <c r="N38" s="81">
        <f t="shared" si="197"/>
        <v>12</v>
      </c>
      <c r="O38" s="81">
        <f t="shared" si="197"/>
        <v>13</v>
      </c>
      <c r="P38" s="81">
        <f t="shared" si="197"/>
        <v>14</v>
      </c>
      <c r="Q38" s="81">
        <f t="shared" si="197"/>
        <v>15</v>
      </c>
      <c r="R38" s="81">
        <f t="shared" si="197"/>
        <v>16</v>
      </c>
      <c r="S38" s="81">
        <f t="shared" si="197"/>
        <v>17</v>
      </c>
      <c r="T38" s="81">
        <f t="shared" si="197"/>
        <v>18</v>
      </c>
      <c r="U38" s="81">
        <f t="shared" si="197"/>
        <v>19</v>
      </c>
      <c r="V38" s="81">
        <f t="shared" si="197"/>
        <v>20</v>
      </c>
      <c r="W38" s="81">
        <f t="shared" si="197"/>
        <v>21</v>
      </c>
      <c r="X38" s="81">
        <f t="shared" si="197"/>
        <v>22</v>
      </c>
      <c r="Y38" s="81">
        <f t="shared" si="197"/>
        <v>23</v>
      </c>
      <c r="Z38" s="81">
        <f t="shared" si="197"/>
        <v>24</v>
      </c>
      <c r="AA38" s="81">
        <f t="shared" si="197"/>
        <v>25</v>
      </c>
      <c r="AB38" s="81">
        <f t="shared" si="197"/>
        <v>26</v>
      </c>
      <c r="AC38" s="81">
        <f t="shared" si="197"/>
        <v>27</v>
      </c>
      <c r="AD38" s="81">
        <f t="shared" si="197"/>
        <v>28</v>
      </c>
      <c r="AE38" s="81">
        <f t="shared" si="197"/>
        <v>29</v>
      </c>
      <c r="AF38" s="81">
        <f t="shared" si="197"/>
        <v>30</v>
      </c>
      <c r="AG38" s="81">
        <f t="shared" si="197"/>
        <v>31</v>
      </c>
      <c r="AH38" s="81">
        <f t="shared" si="197"/>
        <v>32</v>
      </c>
      <c r="AI38" s="81">
        <f t="shared" si="197"/>
        <v>33</v>
      </c>
      <c r="AJ38" s="81">
        <f t="shared" si="197"/>
        <v>34</v>
      </c>
      <c r="AK38" s="81">
        <f t="shared" si="197"/>
        <v>35</v>
      </c>
      <c r="AL38" s="81">
        <f t="shared" si="197"/>
        <v>36</v>
      </c>
      <c r="AM38" s="81">
        <f t="shared" si="197"/>
        <v>37</v>
      </c>
      <c r="AN38" s="81">
        <f t="shared" si="197"/>
        <v>38</v>
      </c>
      <c r="AO38" s="81">
        <f t="shared" si="197"/>
        <v>39</v>
      </c>
      <c r="AP38" s="81">
        <f t="shared" si="197"/>
        <v>40</v>
      </c>
      <c r="AQ38" s="81">
        <f t="shared" si="197"/>
        <v>41</v>
      </c>
      <c r="AR38" s="81">
        <f t="shared" si="197"/>
        <v>42</v>
      </c>
      <c r="AS38" s="81">
        <f t="shared" si="197"/>
        <v>43</v>
      </c>
      <c r="AT38" s="81">
        <f t="shared" si="197"/>
        <v>44</v>
      </c>
      <c r="AU38" s="81">
        <f t="shared" si="197"/>
        <v>45</v>
      </c>
      <c r="AV38" s="81">
        <f t="shared" si="197"/>
        <v>46</v>
      </c>
      <c r="AW38" s="81">
        <f t="shared" si="197"/>
        <v>47</v>
      </c>
      <c r="AX38" s="81">
        <f t="shared" si="197"/>
        <v>48</v>
      </c>
      <c r="AY38" s="81">
        <f t="shared" si="197"/>
        <v>49</v>
      </c>
      <c r="AZ38" s="81">
        <f t="shared" si="197"/>
        <v>50</v>
      </c>
      <c r="BA38" s="81">
        <f t="shared" si="197"/>
        <v>51</v>
      </c>
      <c r="BB38" s="81">
        <f t="shared" si="197"/>
        <v>52</v>
      </c>
      <c r="BC38" s="81">
        <f t="shared" si="197"/>
        <v>53</v>
      </c>
      <c r="BD38" s="81">
        <f t="shared" si="197"/>
        <v>54</v>
      </c>
      <c r="BE38" s="81">
        <f t="shared" si="197"/>
        <v>55</v>
      </c>
      <c r="BF38" s="81">
        <f t="shared" si="197"/>
        <v>56</v>
      </c>
      <c r="BG38" s="81">
        <f t="shared" si="197"/>
        <v>57</v>
      </c>
      <c r="BH38" s="81">
        <f t="shared" si="197"/>
        <v>58</v>
      </c>
      <c r="BI38" s="81">
        <f t="shared" si="197"/>
        <v>59</v>
      </c>
      <c r="BJ38" s="81">
        <f t="shared" si="197"/>
        <v>60</v>
      </c>
      <c r="BK38" s="81">
        <f t="shared" si="197"/>
        <v>61</v>
      </c>
      <c r="BL38" s="81">
        <f t="shared" si="197"/>
        <v>62</v>
      </c>
      <c r="BM38" s="81">
        <f t="shared" si="197"/>
        <v>63</v>
      </c>
      <c r="BN38" s="81">
        <f t="shared" si="197"/>
        <v>64</v>
      </c>
      <c r="BO38" s="81">
        <f t="shared" si="197"/>
        <v>65</v>
      </c>
      <c r="BP38" s="81">
        <f t="shared" si="197"/>
        <v>66</v>
      </c>
      <c r="BQ38" s="81">
        <f t="shared" ref="BQ38:EB38" si="198">BP38+1</f>
        <v>67</v>
      </c>
      <c r="BR38" s="81">
        <f t="shared" si="198"/>
        <v>68</v>
      </c>
      <c r="BS38" s="81">
        <f t="shared" si="198"/>
        <v>69</v>
      </c>
      <c r="BT38" s="81">
        <f t="shared" si="198"/>
        <v>70</v>
      </c>
      <c r="BU38" s="81">
        <f t="shared" si="198"/>
        <v>71</v>
      </c>
      <c r="BV38" s="81">
        <f t="shared" si="198"/>
        <v>72</v>
      </c>
      <c r="BW38" s="81">
        <f t="shared" si="198"/>
        <v>73</v>
      </c>
      <c r="BX38" s="81">
        <f t="shared" si="198"/>
        <v>74</v>
      </c>
      <c r="BY38" s="81">
        <f t="shared" si="198"/>
        <v>75</v>
      </c>
      <c r="BZ38" s="81">
        <f t="shared" si="198"/>
        <v>76</v>
      </c>
      <c r="CA38" s="81">
        <f t="shared" si="198"/>
        <v>77</v>
      </c>
      <c r="CB38" s="81">
        <f t="shared" si="198"/>
        <v>78</v>
      </c>
      <c r="CC38" s="81">
        <f t="shared" si="198"/>
        <v>79</v>
      </c>
      <c r="CD38" s="81">
        <f t="shared" si="198"/>
        <v>80</v>
      </c>
      <c r="CE38" s="81">
        <f t="shared" si="198"/>
        <v>81</v>
      </c>
      <c r="CF38" s="81">
        <f t="shared" si="198"/>
        <v>82</v>
      </c>
      <c r="CG38" s="81">
        <f t="shared" si="198"/>
        <v>83</v>
      </c>
      <c r="CH38" s="81">
        <f t="shared" si="198"/>
        <v>84</v>
      </c>
      <c r="CI38" s="81">
        <f t="shared" si="198"/>
        <v>85</v>
      </c>
      <c r="CJ38" s="81">
        <f t="shared" si="198"/>
        <v>86</v>
      </c>
      <c r="CK38" s="81">
        <f t="shared" si="198"/>
        <v>87</v>
      </c>
      <c r="CL38" s="81">
        <f t="shared" si="198"/>
        <v>88</v>
      </c>
      <c r="CM38" s="81">
        <f t="shared" si="198"/>
        <v>89</v>
      </c>
      <c r="CN38" s="81">
        <f t="shared" si="198"/>
        <v>90</v>
      </c>
      <c r="CO38" s="81">
        <f t="shared" si="198"/>
        <v>91</v>
      </c>
      <c r="CP38" s="81">
        <f t="shared" si="198"/>
        <v>92</v>
      </c>
      <c r="CQ38" s="81">
        <f t="shared" si="198"/>
        <v>93</v>
      </c>
      <c r="CR38" s="81">
        <f t="shared" si="198"/>
        <v>94</v>
      </c>
      <c r="CS38" s="81">
        <f t="shared" si="198"/>
        <v>95</v>
      </c>
      <c r="CT38" s="81">
        <f t="shared" si="198"/>
        <v>96</v>
      </c>
      <c r="CU38" s="81">
        <f t="shared" si="198"/>
        <v>97</v>
      </c>
      <c r="CV38" s="81">
        <f t="shared" si="198"/>
        <v>98</v>
      </c>
      <c r="CW38" s="81">
        <f t="shared" si="198"/>
        <v>99</v>
      </c>
      <c r="CX38" s="81">
        <f t="shared" si="198"/>
        <v>100</v>
      </c>
      <c r="CY38" s="81">
        <f t="shared" si="198"/>
        <v>101</v>
      </c>
      <c r="CZ38" s="81">
        <f t="shared" si="198"/>
        <v>102</v>
      </c>
      <c r="DA38" s="81">
        <f t="shared" si="198"/>
        <v>103</v>
      </c>
      <c r="DB38" s="81">
        <f t="shared" si="198"/>
        <v>104</v>
      </c>
      <c r="DC38" s="81">
        <f t="shared" si="198"/>
        <v>105</v>
      </c>
      <c r="DD38" s="81">
        <f t="shared" si="198"/>
        <v>106</v>
      </c>
      <c r="DE38" s="81">
        <f t="shared" si="198"/>
        <v>107</v>
      </c>
      <c r="DF38" s="81">
        <f t="shared" si="198"/>
        <v>108</v>
      </c>
      <c r="DG38" s="81">
        <f t="shared" si="198"/>
        <v>109</v>
      </c>
      <c r="DH38" s="81">
        <f t="shared" si="198"/>
        <v>110</v>
      </c>
      <c r="DI38" s="81">
        <f t="shared" si="198"/>
        <v>111</v>
      </c>
      <c r="DJ38" s="81">
        <f t="shared" si="198"/>
        <v>112</v>
      </c>
      <c r="DK38" s="81">
        <f t="shared" si="198"/>
        <v>113</v>
      </c>
      <c r="DL38" s="81">
        <f t="shared" si="198"/>
        <v>114</v>
      </c>
      <c r="DM38" s="81">
        <f t="shared" si="198"/>
        <v>115</v>
      </c>
      <c r="DN38" s="81">
        <f t="shared" si="198"/>
        <v>116</v>
      </c>
      <c r="DO38" s="81">
        <f t="shared" si="198"/>
        <v>117</v>
      </c>
      <c r="DP38" s="81">
        <f t="shared" si="198"/>
        <v>118</v>
      </c>
      <c r="DQ38" s="81">
        <f t="shared" si="198"/>
        <v>119</v>
      </c>
      <c r="DR38" s="81">
        <f t="shared" si="198"/>
        <v>120</v>
      </c>
      <c r="DS38" s="81">
        <f t="shared" si="198"/>
        <v>121</v>
      </c>
      <c r="DT38" s="81">
        <f t="shared" si="198"/>
        <v>122</v>
      </c>
      <c r="DU38" s="81">
        <f t="shared" si="198"/>
        <v>123</v>
      </c>
      <c r="DV38" s="81">
        <f t="shared" si="198"/>
        <v>124</v>
      </c>
      <c r="DW38" s="81">
        <f t="shared" si="198"/>
        <v>125</v>
      </c>
      <c r="DX38" s="81">
        <f t="shared" si="198"/>
        <v>126</v>
      </c>
      <c r="DY38" s="81">
        <f t="shared" si="198"/>
        <v>127</v>
      </c>
      <c r="DZ38" s="81">
        <f t="shared" si="198"/>
        <v>128</v>
      </c>
      <c r="EA38" s="81">
        <f t="shared" si="198"/>
        <v>129</v>
      </c>
      <c r="EB38" s="81">
        <f t="shared" si="198"/>
        <v>130</v>
      </c>
      <c r="EC38" s="81">
        <f t="shared" ref="EC38:FZ38" si="199">EB38+1</f>
        <v>131</v>
      </c>
      <c r="ED38" s="81">
        <f t="shared" si="199"/>
        <v>132</v>
      </c>
      <c r="EE38" s="81">
        <f t="shared" si="199"/>
        <v>133</v>
      </c>
      <c r="EF38" s="81">
        <f t="shared" si="199"/>
        <v>134</v>
      </c>
      <c r="EG38" s="81">
        <f t="shared" si="199"/>
        <v>135</v>
      </c>
      <c r="EH38" s="81">
        <f t="shared" si="199"/>
        <v>136</v>
      </c>
      <c r="EI38" s="81">
        <f t="shared" si="199"/>
        <v>137</v>
      </c>
      <c r="EJ38" s="81">
        <f t="shared" si="199"/>
        <v>138</v>
      </c>
      <c r="EK38" s="81">
        <f t="shared" si="199"/>
        <v>139</v>
      </c>
      <c r="EL38" s="81">
        <f t="shared" si="199"/>
        <v>140</v>
      </c>
      <c r="EM38" s="81">
        <f t="shared" si="199"/>
        <v>141</v>
      </c>
      <c r="EN38" s="81">
        <f t="shared" si="199"/>
        <v>142</v>
      </c>
      <c r="EO38" s="81">
        <f t="shared" si="199"/>
        <v>143</v>
      </c>
      <c r="EP38" s="81">
        <f t="shared" si="199"/>
        <v>144</v>
      </c>
      <c r="EQ38" s="81">
        <f t="shared" si="199"/>
        <v>145</v>
      </c>
      <c r="ER38" s="81">
        <f t="shared" si="199"/>
        <v>146</v>
      </c>
      <c r="ES38" s="81">
        <f t="shared" si="199"/>
        <v>147</v>
      </c>
      <c r="ET38" s="81">
        <f t="shared" si="199"/>
        <v>148</v>
      </c>
      <c r="EU38" s="81">
        <f t="shared" si="199"/>
        <v>149</v>
      </c>
      <c r="EV38" s="81">
        <f t="shared" si="199"/>
        <v>150</v>
      </c>
      <c r="EW38" s="81">
        <f t="shared" si="199"/>
        <v>151</v>
      </c>
      <c r="EX38" s="81">
        <f t="shared" si="199"/>
        <v>152</v>
      </c>
      <c r="EY38" s="81">
        <f t="shared" si="199"/>
        <v>153</v>
      </c>
      <c r="EZ38" s="81">
        <f t="shared" si="199"/>
        <v>154</v>
      </c>
      <c r="FA38" s="81">
        <f t="shared" si="199"/>
        <v>155</v>
      </c>
      <c r="FB38" s="81">
        <f t="shared" si="199"/>
        <v>156</v>
      </c>
      <c r="FC38" s="81">
        <f t="shared" si="199"/>
        <v>157</v>
      </c>
      <c r="FD38" s="81">
        <f t="shared" si="199"/>
        <v>158</v>
      </c>
      <c r="FE38" s="81">
        <f t="shared" si="199"/>
        <v>159</v>
      </c>
      <c r="FF38" s="81">
        <f t="shared" si="199"/>
        <v>160</v>
      </c>
      <c r="FG38" s="81">
        <f t="shared" si="199"/>
        <v>161</v>
      </c>
      <c r="FH38" s="81">
        <f t="shared" si="199"/>
        <v>162</v>
      </c>
      <c r="FI38" s="81">
        <f t="shared" si="199"/>
        <v>163</v>
      </c>
      <c r="FJ38" s="81">
        <f t="shared" si="199"/>
        <v>164</v>
      </c>
      <c r="FK38" s="81">
        <f t="shared" si="199"/>
        <v>165</v>
      </c>
      <c r="FL38" s="81">
        <f t="shared" si="199"/>
        <v>166</v>
      </c>
      <c r="FM38" s="81">
        <f t="shared" si="199"/>
        <v>167</v>
      </c>
      <c r="FN38" s="81">
        <f t="shared" si="199"/>
        <v>168</v>
      </c>
      <c r="FO38" s="81">
        <f t="shared" si="199"/>
        <v>169</v>
      </c>
      <c r="FP38" s="81">
        <f t="shared" si="199"/>
        <v>170</v>
      </c>
      <c r="FQ38" s="81">
        <f t="shared" si="199"/>
        <v>171</v>
      </c>
      <c r="FR38" s="81">
        <f t="shared" si="199"/>
        <v>172</v>
      </c>
      <c r="FS38" s="81">
        <f t="shared" si="199"/>
        <v>173</v>
      </c>
      <c r="FT38" s="81">
        <f t="shared" si="199"/>
        <v>174</v>
      </c>
      <c r="FU38" s="81">
        <f t="shared" si="199"/>
        <v>175</v>
      </c>
      <c r="FV38" s="81">
        <f t="shared" si="199"/>
        <v>176</v>
      </c>
      <c r="FW38" s="81">
        <f t="shared" si="199"/>
        <v>177</v>
      </c>
      <c r="FX38" s="81">
        <f t="shared" si="199"/>
        <v>178</v>
      </c>
      <c r="FY38" s="81">
        <f t="shared" si="199"/>
        <v>179</v>
      </c>
      <c r="FZ38" s="82">
        <f t="shared" si="199"/>
        <v>180</v>
      </c>
    </row>
    <row r="39" spans="2:182" x14ac:dyDescent="0.2">
      <c r="B39" s="80" t="s">
        <v>131</v>
      </c>
      <c r="C39" s="83">
        <f>EOMONTH(Analysis_Start,0)</f>
        <v>43861</v>
      </c>
      <c r="D39" s="83">
        <f>EOMONTH(C15,1)</f>
        <v>43890</v>
      </c>
      <c r="E39" s="83">
        <f t="shared" ref="E39:BP39" si="200">EOMONTH(D15,1)</f>
        <v>43921</v>
      </c>
      <c r="F39" s="83">
        <f t="shared" si="200"/>
        <v>43951</v>
      </c>
      <c r="G39" s="83">
        <f t="shared" si="200"/>
        <v>43982</v>
      </c>
      <c r="H39" s="83">
        <f t="shared" si="200"/>
        <v>44012</v>
      </c>
      <c r="I39" s="83">
        <f t="shared" si="200"/>
        <v>44043</v>
      </c>
      <c r="J39" s="83">
        <f t="shared" si="200"/>
        <v>44074</v>
      </c>
      <c r="K39" s="83">
        <f t="shared" si="200"/>
        <v>44104</v>
      </c>
      <c r="L39" s="83">
        <f t="shared" si="200"/>
        <v>44135</v>
      </c>
      <c r="M39" s="83">
        <f t="shared" si="200"/>
        <v>44165</v>
      </c>
      <c r="N39" s="83">
        <f t="shared" si="200"/>
        <v>44196</v>
      </c>
      <c r="O39" s="83">
        <f t="shared" si="200"/>
        <v>44227</v>
      </c>
      <c r="P39" s="83">
        <f t="shared" si="200"/>
        <v>44255</v>
      </c>
      <c r="Q39" s="83">
        <f t="shared" si="200"/>
        <v>44286</v>
      </c>
      <c r="R39" s="83">
        <f t="shared" si="200"/>
        <v>44316</v>
      </c>
      <c r="S39" s="83">
        <f t="shared" si="200"/>
        <v>44347</v>
      </c>
      <c r="T39" s="83">
        <f t="shared" si="200"/>
        <v>44377</v>
      </c>
      <c r="U39" s="83">
        <f t="shared" si="200"/>
        <v>44408</v>
      </c>
      <c r="V39" s="83">
        <f t="shared" si="200"/>
        <v>44439</v>
      </c>
      <c r="W39" s="83">
        <f t="shared" si="200"/>
        <v>44469</v>
      </c>
      <c r="X39" s="83">
        <f t="shared" si="200"/>
        <v>44500</v>
      </c>
      <c r="Y39" s="83">
        <f t="shared" si="200"/>
        <v>44530</v>
      </c>
      <c r="Z39" s="83">
        <f t="shared" si="200"/>
        <v>44561</v>
      </c>
      <c r="AA39" s="83">
        <f t="shared" si="200"/>
        <v>44592</v>
      </c>
      <c r="AB39" s="83">
        <f t="shared" si="200"/>
        <v>44620</v>
      </c>
      <c r="AC39" s="83">
        <f t="shared" si="200"/>
        <v>44651</v>
      </c>
      <c r="AD39" s="83">
        <f t="shared" si="200"/>
        <v>44681</v>
      </c>
      <c r="AE39" s="83">
        <f t="shared" si="200"/>
        <v>44712</v>
      </c>
      <c r="AF39" s="83">
        <f t="shared" si="200"/>
        <v>44742</v>
      </c>
      <c r="AG39" s="83">
        <f t="shared" si="200"/>
        <v>44773</v>
      </c>
      <c r="AH39" s="83">
        <f t="shared" si="200"/>
        <v>44804</v>
      </c>
      <c r="AI39" s="83">
        <f t="shared" si="200"/>
        <v>44834</v>
      </c>
      <c r="AJ39" s="83">
        <f t="shared" si="200"/>
        <v>44865</v>
      </c>
      <c r="AK39" s="83">
        <f t="shared" si="200"/>
        <v>44895</v>
      </c>
      <c r="AL39" s="83">
        <f t="shared" si="200"/>
        <v>44926</v>
      </c>
      <c r="AM39" s="83">
        <f t="shared" si="200"/>
        <v>44957</v>
      </c>
      <c r="AN39" s="83">
        <f t="shared" si="200"/>
        <v>44985</v>
      </c>
      <c r="AO39" s="83">
        <f t="shared" si="200"/>
        <v>45016</v>
      </c>
      <c r="AP39" s="83">
        <f t="shared" si="200"/>
        <v>45046</v>
      </c>
      <c r="AQ39" s="83">
        <f t="shared" si="200"/>
        <v>45077</v>
      </c>
      <c r="AR39" s="83">
        <f t="shared" si="200"/>
        <v>45107</v>
      </c>
      <c r="AS39" s="83">
        <f t="shared" si="200"/>
        <v>45138</v>
      </c>
      <c r="AT39" s="83">
        <f t="shared" si="200"/>
        <v>45169</v>
      </c>
      <c r="AU39" s="83">
        <f t="shared" si="200"/>
        <v>45199</v>
      </c>
      <c r="AV39" s="83">
        <f t="shared" si="200"/>
        <v>45230</v>
      </c>
      <c r="AW39" s="83">
        <f t="shared" si="200"/>
        <v>45260</v>
      </c>
      <c r="AX39" s="83">
        <f t="shared" si="200"/>
        <v>45291</v>
      </c>
      <c r="AY39" s="83">
        <f t="shared" si="200"/>
        <v>45322</v>
      </c>
      <c r="AZ39" s="83">
        <f t="shared" si="200"/>
        <v>45351</v>
      </c>
      <c r="BA39" s="83">
        <f t="shared" si="200"/>
        <v>45382</v>
      </c>
      <c r="BB39" s="83">
        <f t="shared" si="200"/>
        <v>45412</v>
      </c>
      <c r="BC39" s="83">
        <f t="shared" si="200"/>
        <v>45443</v>
      </c>
      <c r="BD39" s="83">
        <f t="shared" si="200"/>
        <v>45473</v>
      </c>
      <c r="BE39" s="83">
        <f t="shared" si="200"/>
        <v>45504</v>
      </c>
      <c r="BF39" s="83">
        <f t="shared" si="200"/>
        <v>45535</v>
      </c>
      <c r="BG39" s="83">
        <f t="shared" si="200"/>
        <v>45565</v>
      </c>
      <c r="BH39" s="83">
        <f t="shared" si="200"/>
        <v>45596</v>
      </c>
      <c r="BI39" s="83">
        <f t="shared" si="200"/>
        <v>45626</v>
      </c>
      <c r="BJ39" s="83">
        <f t="shared" si="200"/>
        <v>45657</v>
      </c>
      <c r="BK39" s="83">
        <f t="shared" si="200"/>
        <v>45688</v>
      </c>
      <c r="BL39" s="83">
        <f t="shared" si="200"/>
        <v>45716</v>
      </c>
      <c r="BM39" s="83">
        <f t="shared" si="200"/>
        <v>45747</v>
      </c>
      <c r="BN39" s="83">
        <f t="shared" si="200"/>
        <v>45777</v>
      </c>
      <c r="BO39" s="83">
        <f t="shared" si="200"/>
        <v>45808</v>
      </c>
      <c r="BP39" s="83">
        <f t="shared" si="200"/>
        <v>45838</v>
      </c>
      <c r="BQ39" s="83">
        <f t="shared" ref="BQ39:EB39" si="201">EOMONTH(BP15,1)</f>
        <v>45869</v>
      </c>
      <c r="BR39" s="83">
        <f t="shared" si="201"/>
        <v>45900</v>
      </c>
      <c r="BS39" s="83">
        <f t="shared" si="201"/>
        <v>45930</v>
      </c>
      <c r="BT39" s="83">
        <f t="shared" si="201"/>
        <v>45961</v>
      </c>
      <c r="BU39" s="83">
        <f t="shared" si="201"/>
        <v>45991</v>
      </c>
      <c r="BV39" s="83">
        <f t="shared" si="201"/>
        <v>46022</v>
      </c>
      <c r="BW39" s="83">
        <f t="shared" si="201"/>
        <v>46053</v>
      </c>
      <c r="BX39" s="83">
        <f t="shared" si="201"/>
        <v>46081</v>
      </c>
      <c r="BY39" s="83">
        <f t="shared" si="201"/>
        <v>46112</v>
      </c>
      <c r="BZ39" s="83">
        <f t="shared" si="201"/>
        <v>46142</v>
      </c>
      <c r="CA39" s="83">
        <f t="shared" si="201"/>
        <v>46173</v>
      </c>
      <c r="CB39" s="83">
        <f t="shared" si="201"/>
        <v>46203</v>
      </c>
      <c r="CC39" s="83">
        <f t="shared" si="201"/>
        <v>46234</v>
      </c>
      <c r="CD39" s="83">
        <f t="shared" si="201"/>
        <v>46265</v>
      </c>
      <c r="CE39" s="83">
        <f t="shared" si="201"/>
        <v>46295</v>
      </c>
      <c r="CF39" s="83">
        <f t="shared" si="201"/>
        <v>46326</v>
      </c>
      <c r="CG39" s="83">
        <f t="shared" si="201"/>
        <v>46356</v>
      </c>
      <c r="CH39" s="83">
        <f t="shared" si="201"/>
        <v>46387</v>
      </c>
      <c r="CI39" s="83">
        <f t="shared" si="201"/>
        <v>46418</v>
      </c>
      <c r="CJ39" s="83">
        <f t="shared" si="201"/>
        <v>46446</v>
      </c>
      <c r="CK39" s="83">
        <f t="shared" si="201"/>
        <v>46477</v>
      </c>
      <c r="CL39" s="83">
        <f t="shared" si="201"/>
        <v>46507</v>
      </c>
      <c r="CM39" s="83">
        <f t="shared" si="201"/>
        <v>46538</v>
      </c>
      <c r="CN39" s="83">
        <f t="shared" si="201"/>
        <v>46568</v>
      </c>
      <c r="CO39" s="83">
        <f t="shared" si="201"/>
        <v>46599</v>
      </c>
      <c r="CP39" s="83">
        <f t="shared" si="201"/>
        <v>46630</v>
      </c>
      <c r="CQ39" s="83">
        <f t="shared" si="201"/>
        <v>46660</v>
      </c>
      <c r="CR39" s="83">
        <f t="shared" si="201"/>
        <v>46691</v>
      </c>
      <c r="CS39" s="83">
        <f t="shared" si="201"/>
        <v>46721</v>
      </c>
      <c r="CT39" s="83">
        <f t="shared" si="201"/>
        <v>46752</v>
      </c>
      <c r="CU39" s="83">
        <f t="shared" si="201"/>
        <v>46783</v>
      </c>
      <c r="CV39" s="83">
        <f t="shared" si="201"/>
        <v>46812</v>
      </c>
      <c r="CW39" s="83">
        <f t="shared" si="201"/>
        <v>46843</v>
      </c>
      <c r="CX39" s="83">
        <f t="shared" si="201"/>
        <v>46873</v>
      </c>
      <c r="CY39" s="83">
        <f t="shared" si="201"/>
        <v>46904</v>
      </c>
      <c r="CZ39" s="83">
        <f t="shared" si="201"/>
        <v>46934</v>
      </c>
      <c r="DA39" s="83">
        <f t="shared" si="201"/>
        <v>46965</v>
      </c>
      <c r="DB39" s="83">
        <f t="shared" si="201"/>
        <v>46996</v>
      </c>
      <c r="DC39" s="83">
        <f t="shared" si="201"/>
        <v>47026</v>
      </c>
      <c r="DD39" s="83">
        <f t="shared" si="201"/>
        <v>47057</v>
      </c>
      <c r="DE39" s="83">
        <f t="shared" si="201"/>
        <v>47087</v>
      </c>
      <c r="DF39" s="83">
        <f t="shared" si="201"/>
        <v>47118</v>
      </c>
      <c r="DG39" s="83">
        <f t="shared" si="201"/>
        <v>47149</v>
      </c>
      <c r="DH39" s="83">
        <f t="shared" si="201"/>
        <v>47177</v>
      </c>
      <c r="DI39" s="83">
        <f t="shared" si="201"/>
        <v>47208</v>
      </c>
      <c r="DJ39" s="83">
        <f t="shared" si="201"/>
        <v>47238</v>
      </c>
      <c r="DK39" s="83">
        <f t="shared" si="201"/>
        <v>47269</v>
      </c>
      <c r="DL39" s="83">
        <f t="shared" si="201"/>
        <v>47299</v>
      </c>
      <c r="DM39" s="83">
        <f t="shared" si="201"/>
        <v>47330</v>
      </c>
      <c r="DN39" s="83">
        <f t="shared" si="201"/>
        <v>47361</v>
      </c>
      <c r="DO39" s="83">
        <f t="shared" si="201"/>
        <v>47391</v>
      </c>
      <c r="DP39" s="83">
        <f t="shared" si="201"/>
        <v>47422</v>
      </c>
      <c r="DQ39" s="83">
        <f t="shared" si="201"/>
        <v>47452</v>
      </c>
      <c r="DR39" s="83">
        <f t="shared" si="201"/>
        <v>47483</v>
      </c>
      <c r="DS39" s="83">
        <f t="shared" si="201"/>
        <v>47514</v>
      </c>
      <c r="DT39" s="83">
        <f t="shared" si="201"/>
        <v>47542</v>
      </c>
      <c r="DU39" s="83">
        <f t="shared" si="201"/>
        <v>47573</v>
      </c>
      <c r="DV39" s="83">
        <f t="shared" si="201"/>
        <v>47603</v>
      </c>
      <c r="DW39" s="83">
        <f t="shared" si="201"/>
        <v>47634</v>
      </c>
      <c r="DX39" s="83">
        <f t="shared" si="201"/>
        <v>47664</v>
      </c>
      <c r="DY39" s="83">
        <f t="shared" si="201"/>
        <v>47695</v>
      </c>
      <c r="DZ39" s="83">
        <f t="shared" si="201"/>
        <v>47726</v>
      </c>
      <c r="EA39" s="83">
        <f t="shared" si="201"/>
        <v>47756</v>
      </c>
      <c r="EB39" s="83">
        <f t="shared" si="201"/>
        <v>47787</v>
      </c>
      <c r="EC39" s="83">
        <f t="shared" ref="EC39:FZ39" si="202">EOMONTH(EB15,1)</f>
        <v>47817</v>
      </c>
      <c r="ED39" s="83">
        <f t="shared" si="202"/>
        <v>47848</v>
      </c>
      <c r="EE39" s="83">
        <f t="shared" si="202"/>
        <v>47879</v>
      </c>
      <c r="EF39" s="83">
        <f t="shared" si="202"/>
        <v>47907</v>
      </c>
      <c r="EG39" s="83">
        <f t="shared" si="202"/>
        <v>47938</v>
      </c>
      <c r="EH39" s="83">
        <f t="shared" si="202"/>
        <v>47968</v>
      </c>
      <c r="EI39" s="83">
        <f t="shared" si="202"/>
        <v>47999</v>
      </c>
      <c r="EJ39" s="83">
        <f t="shared" si="202"/>
        <v>48029</v>
      </c>
      <c r="EK39" s="83">
        <f t="shared" si="202"/>
        <v>48060</v>
      </c>
      <c r="EL39" s="83">
        <f t="shared" si="202"/>
        <v>48091</v>
      </c>
      <c r="EM39" s="83">
        <f t="shared" si="202"/>
        <v>48121</v>
      </c>
      <c r="EN39" s="83">
        <f t="shared" si="202"/>
        <v>48152</v>
      </c>
      <c r="EO39" s="83">
        <f t="shared" si="202"/>
        <v>48182</v>
      </c>
      <c r="EP39" s="83">
        <f t="shared" si="202"/>
        <v>48213</v>
      </c>
      <c r="EQ39" s="83">
        <f t="shared" si="202"/>
        <v>48244</v>
      </c>
      <c r="ER39" s="83">
        <f t="shared" si="202"/>
        <v>48273</v>
      </c>
      <c r="ES39" s="83">
        <f t="shared" si="202"/>
        <v>48304</v>
      </c>
      <c r="ET39" s="83">
        <f t="shared" si="202"/>
        <v>48334</v>
      </c>
      <c r="EU39" s="83">
        <f t="shared" si="202"/>
        <v>48365</v>
      </c>
      <c r="EV39" s="83">
        <f t="shared" si="202"/>
        <v>48395</v>
      </c>
      <c r="EW39" s="83">
        <f t="shared" si="202"/>
        <v>48426</v>
      </c>
      <c r="EX39" s="83">
        <f t="shared" si="202"/>
        <v>48457</v>
      </c>
      <c r="EY39" s="83">
        <f t="shared" si="202"/>
        <v>48487</v>
      </c>
      <c r="EZ39" s="83">
        <f t="shared" si="202"/>
        <v>48518</v>
      </c>
      <c r="FA39" s="83">
        <f t="shared" si="202"/>
        <v>48548</v>
      </c>
      <c r="FB39" s="83">
        <f t="shared" si="202"/>
        <v>48579</v>
      </c>
      <c r="FC39" s="83">
        <f t="shared" si="202"/>
        <v>48610</v>
      </c>
      <c r="FD39" s="83">
        <f t="shared" si="202"/>
        <v>48638</v>
      </c>
      <c r="FE39" s="83">
        <f t="shared" si="202"/>
        <v>48669</v>
      </c>
      <c r="FF39" s="83">
        <f t="shared" si="202"/>
        <v>48699</v>
      </c>
      <c r="FG39" s="83">
        <f t="shared" si="202"/>
        <v>48730</v>
      </c>
      <c r="FH39" s="83">
        <f t="shared" si="202"/>
        <v>48760</v>
      </c>
      <c r="FI39" s="83">
        <f t="shared" si="202"/>
        <v>48791</v>
      </c>
      <c r="FJ39" s="83">
        <f t="shared" si="202"/>
        <v>48822</v>
      </c>
      <c r="FK39" s="83">
        <f t="shared" si="202"/>
        <v>48852</v>
      </c>
      <c r="FL39" s="83">
        <f t="shared" si="202"/>
        <v>48883</v>
      </c>
      <c r="FM39" s="83">
        <f t="shared" si="202"/>
        <v>48913</v>
      </c>
      <c r="FN39" s="83">
        <f t="shared" si="202"/>
        <v>48944</v>
      </c>
      <c r="FO39" s="83">
        <f t="shared" si="202"/>
        <v>48975</v>
      </c>
      <c r="FP39" s="83">
        <f t="shared" si="202"/>
        <v>49003</v>
      </c>
      <c r="FQ39" s="83">
        <f t="shared" si="202"/>
        <v>49034</v>
      </c>
      <c r="FR39" s="83">
        <f t="shared" si="202"/>
        <v>49064</v>
      </c>
      <c r="FS39" s="83">
        <f t="shared" si="202"/>
        <v>49095</v>
      </c>
      <c r="FT39" s="83">
        <f t="shared" si="202"/>
        <v>49125</v>
      </c>
      <c r="FU39" s="83">
        <f t="shared" si="202"/>
        <v>49156</v>
      </c>
      <c r="FV39" s="83">
        <f t="shared" si="202"/>
        <v>49187</v>
      </c>
      <c r="FW39" s="83">
        <f t="shared" si="202"/>
        <v>49217</v>
      </c>
      <c r="FX39" s="83">
        <f t="shared" si="202"/>
        <v>49248</v>
      </c>
      <c r="FY39" s="83">
        <f t="shared" si="202"/>
        <v>49278</v>
      </c>
      <c r="FZ39" s="84">
        <f t="shared" si="202"/>
        <v>49309</v>
      </c>
    </row>
    <row r="40" spans="2:182" x14ac:dyDescent="0.2">
      <c r="B40" s="85"/>
      <c r="C40" s="73" t="b">
        <f>IF(OR($B5="",$B5=0),"",INT(C$38/$J5)=C$38/$J5)</f>
        <v>0</v>
      </c>
      <c r="D40" s="73" t="b">
        <f t="shared" ref="D40:BO41" si="203">IF(OR($B5="",$B5=0),"",INT(D$38/$J5)=D$38/$J5)</f>
        <v>0</v>
      </c>
      <c r="E40" s="73" t="b">
        <f t="shared" si="203"/>
        <v>0</v>
      </c>
      <c r="F40" s="73" t="b">
        <f t="shared" si="203"/>
        <v>0</v>
      </c>
      <c r="G40" s="73" t="b">
        <f t="shared" si="203"/>
        <v>0</v>
      </c>
      <c r="H40" s="73" t="b">
        <f t="shared" si="203"/>
        <v>0</v>
      </c>
      <c r="I40" s="73" t="b">
        <f t="shared" si="203"/>
        <v>0</v>
      </c>
      <c r="J40" s="73" t="b">
        <f t="shared" si="203"/>
        <v>0</v>
      </c>
      <c r="K40" s="73" t="b">
        <f t="shared" si="203"/>
        <v>0</v>
      </c>
      <c r="L40" s="73" t="b">
        <f t="shared" si="203"/>
        <v>0</v>
      </c>
      <c r="M40" s="73" t="b">
        <f t="shared" si="203"/>
        <v>0</v>
      </c>
      <c r="N40" s="73" t="b">
        <f t="shared" si="203"/>
        <v>1</v>
      </c>
      <c r="O40" s="73" t="b">
        <f t="shared" si="203"/>
        <v>0</v>
      </c>
      <c r="P40" s="73" t="b">
        <f t="shared" si="203"/>
        <v>0</v>
      </c>
      <c r="Q40" s="73" t="b">
        <f t="shared" si="203"/>
        <v>0</v>
      </c>
      <c r="R40" s="73" t="b">
        <f t="shared" si="203"/>
        <v>0</v>
      </c>
      <c r="S40" s="73" t="b">
        <f t="shared" si="203"/>
        <v>0</v>
      </c>
      <c r="T40" s="73" t="b">
        <f t="shared" si="203"/>
        <v>0</v>
      </c>
      <c r="U40" s="73" t="b">
        <f t="shared" si="203"/>
        <v>0</v>
      </c>
      <c r="V40" s="73" t="b">
        <f t="shared" si="203"/>
        <v>0</v>
      </c>
      <c r="W40" s="73" t="b">
        <f t="shared" si="203"/>
        <v>0</v>
      </c>
      <c r="X40" s="73" t="b">
        <f t="shared" si="203"/>
        <v>0</v>
      </c>
      <c r="Y40" s="73" t="b">
        <f t="shared" si="203"/>
        <v>0</v>
      </c>
      <c r="Z40" s="73" t="b">
        <f t="shared" si="203"/>
        <v>1</v>
      </c>
      <c r="AA40" s="73" t="b">
        <f t="shared" si="203"/>
        <v>0</v>
      </c>
      <c r="AB40" s="73" t="b">
        <f t="shared" si="203"/>
        <v>0</v>
      </c>
      <c r="AC40" s="73" t="b">
        <f t="shared" si="203"/>
        <v>0</v>
      </c>
      <c r="AD40" s="73" t="b">
        <f t="shared" si="203"/>
        <v>0</v>
      </c>
      <c r="AE40" s="73" t="b">
        <f t="shared" si="203"/>
        <v>0</v>
      </c>
      <c r="AF40" s="73" t="b">
        <f t="shared" si="203"/>
        <v>0</v>
      </c>
      <c r="AG40" s="73" t="b">
        <f t="shared" si="203"/>
        <v>0</v>
      </c>
      <c r="AH40" s="73" t="b">
        <f t="shared" si="203"/>
        <v>0</v>
      </c>
      <c r="AI40" s="73" t="b">
        <f t="shared" si="203"/>
        <v>0</v>
      </c>
      <c r="AJ40" s="73" t="b">
        <f t="shared" si="203"/>
        <v>0</v>
      </c>
      <c r="AK40" s="73" t="b">
        <f t="shared" si="203"/>
        <v>0</v>
      </c>
      <c r="AL40" s="73" t="b">
        <f t="shared" si="203"/>
        <v>1</v>
      </c>
      <c r="AM40" s="73" t="b">
        <f t="shared" si="203"/>
        <v>0</v>
      </c>
      <c r="AN40" s="73" t="b">
        <f t="shared" si="203"/>
        <v>0</v>
      </c>
      <c r="AO40" s="73" t="b">
        <f t="shared" si="203"/>
        <v>0</v>
      </c>
      <c r="AP40" s="73" t="b">
        <f t="shared" si="203"/>
        <v>0</v>
      </c>
      <c r="AQ40" s="73" t="b">
        <f t="shared" si="203"/>
        <v>0</v>
      </c>
      <c r="AR40" s="73" t="b">
        <f t="shared" si="203"/>
        <v>0</v>
      </c>
      <c r="AS40" s="73" t="b">
        <f t="shared" si="203"/>
        <v>0</v>
      </c>
      <c r="AT40" s="73" t="b">
        <f t="shared" si="203"/>
        <v>0</v>
      </c>
      <c r="AU40" s="73" t="b">
        <f t="shared" si="203"/>
        <v>0</v>
      </c>
      <c r="AV40" s="73" t="b">
        <f t="shared" si="203"/>
        <v>0</v>
      </c>
      <c r="AW40" s="73" t="b">
        <f t="shared" si="203"/>
        <v>0</v>
      </c>
      <c r="AX40" s="73" t="b">
        <f t="shared" si="203"/>
        <v>1</v>
      </c>
      <c r="AY40" s="73" t="b">
        <f t="shared" si="203"/>
        <v>0</v>
      </c>
      <c r="AZ40" s="73" t="b">
        <f t="shared" si="203"/>
        <v>0</v>
      </c>
      <c r="BA40" s="73" t="b">
        <f t="shared" si="203"/>
        <v>0</v>
      </c>
      <c r="BB40" s="73" t="b">
        <f t="shared" si="203"/>
        <v>0</v>
      </c>
      <c r="BC40" s="73" t="b">
        <f t="shared" si="203"/>
        <v>0</v>
      </c>
      <c r="BD40" s="73" t="b">
        <f t="shared" si="203"/>
        <v>0</v>
      </c>
      <c r="BE40" s="73" t="b">
        <f t="shared" si="203"/>
        <v>0</v>
      </c>
      <c r="BF40" s="73" t="b">
        <f t="shared" si="203"/>
        <v>0</v>
      </c>
      <c r="BG40" s="73" t="b">
        <f t="shared" si="203"/>
        <v>0</v>
      </c>
      <c r="BH40" s="73" t="b">
        <f t="shared" si="203"/>
        <v>0</v>
      </c>
      <c r="BI40" s="73" t="b">
        <f t="shared" si="203"/>
        <v>0</v>
      </c>
      <c r="BJ40" s="73" t="b">
        <f t="shared" si="203"/>
        <v>1</v>
      </c>
      <c r="BK40" s="73" t="b">
        <f t="shared" si="203"/>
        <v>0</v>
      </c>
      <c r="BL40" s="73" t="b">
        <f t="shared" si="203"/>
        <v>0</v>
      </c>
      <c r="BM40" s="73" t="b">
        <f t="shared" si="203"/>
        <v>0</v>
      </c>
      <c r="BN40" s="73" t="b">
        <f t="shared" si="203"/>
        <v>0</v>
      </c>
      <c r="BO40" s="73" t="b">
        <f t="shared" si="203"/>
        <v>0</v>
      </c>
      <c r="BP40" s="73" t="b">
        <f t="shared" ref="BP40:EA43" si="204">IF(OR($B5="",$B5=0),"",INT(BP$38/$J5)=BP$38/$J5)</f>
        <v>0</v>
      </c>
      <c r="BQ40" s="73" t="b">
        <f t="shared" si="204"/>
        <v>0</v>
      </c>
      <c r="BR40" s="73" t="b">
        <f t="shared" si="204"/>
        <v>0</v>
      </c>
      <c r="BS40" s="73" t="b">
        <f t="shared" si="204"/>
        <v>0</v>
      </c>
      <c r="BT40" s="73" t="b">
        <f t="shared" si="204"/>
        <v>0</v>
      </c>
      <c r="BU40" s="73" t="b">
        <f t="shared" si="204"/>
        <v>0</v>
      </c>
      <c r="BV40" s="73" t="b">
        <f t="shared" si="204"/>
        <v>1</v>
      </c>
      <c r="BW40" s="73" t="b">
        <f t="shared" si="204"/>
        <v>0</v>
      </c>
      <c r="BX40" s="73" t="b">
        <f t="shared" si="204"/>
        <v>0</v>
      </c>
      <c r="BY40" s="73" t="b">
        <f t="shared" si="204"/>
        <v>0</v>
      </c>
      <c r="BZ40" s="73" t="b">
        <f t="shared" si="204"/>
        <v>0</v>
      </c>
      <c r="CA40" s="73" t="b">
        <f t="shared" si="204"/>
        <v>0</v>
      </c>
      <c r="CB40" s="73" t="b">
        <f t="shared" si="204"/>
        <v>0</v>
      </c>
      <c r="CC40" s="73" t="b">
        <f t="shared" si="204"/>
        <v>0</v>
      </c>
      <c r="CD40" s="73" t="b">
        <f t="shared" si="204"/>
        <v>0</v>
      </c>
      <c r="CE40" s="73" t="b">
        <f t="shared" si="204"/>
        <v>0</v>
      </c>
      <c r="CF40" s="73" t="b">
        <f t="shared" si="204"/>
        <v>0</v>
      </c>
      <c r="CG40" s="73" t="b">
        <f t="shared" si="204"/>
        <v>0</v>
      </c>
      <c r="CH40" s="73" t="b">
        <f t="shared" si="204"/>
        <v>1</v>
      </c>
      <c r="CI40" s="73" t="b">
        <f t="shared" si="204"/>
        <v>0</v>
      </c>
      <c r="CJ40" s="73" t="b">
        <f t="shared" si="204"/>
        <v>0</v>
      </c>
      <c r="CK40" s="73" t="b">
        <f t="shared" si="204"/>
        <v>0</v>
      </c>
      <c r="CL40" s="73" t="b">
        <f t="shared" si="204"/>
        <v>0</v>
      </c>
      <c r="CM40" s="73" t="b">
        <f t="shared" si="204"/>
        <v>0</v>
      </c>
      <c r="CN40" s="73" t="b">
        <f t="shared" si="204"/>
        <v>0</v>
      </c>
      <c r="CO40" s="73" t="b">
        <f t="shared" si="204"/>
        <v>0</v>
      </c>
      <c r="CP40" s="73" t="b">
        <f t="shared" si="204"/>
        <v>0</v>
      </c>
      <c r="CQ40" s="73" t="b">
        <f t="shared" si="204"/>
        <v>0</v>
      </c>
      <c r="CR40" s="73" t="b">
        <f t="shared" si="204"/>
        <v>0</v>
      </c>
      <c r="CS40" s="73" t="b">
        <f t="shared" si="204"/>
        <v>0</v>
      </c>
      <c r="CT40" s="73" t="b">
        <f t="shared" si="204"/>
        <v>1</v>
      </c>
      <c r="CU40" s="73" t="b">
        <f t="shared" si="204"/>
        <v>0</v>
      </c>
      <c r="CV40" s="73" t="b">
        <f t="shared" si="204"/>
        <v>0</v>
      </c>
      <c r="CW40" s="73" t="b">
        <f t="shared" si="204"/>
        <v>0</v>
      </c>
      <c r="CX40" s="73" t="b">
        <f t="shared" si="204"/>
        <v>0</v>
      </c>
      <c r="CY40" s="73" t="b">
        <f t="shared" si="204"/>
        <v>0</v>
      </c>
      <c r="CZ40" s="73" t="b">
        <f t="shared" si="204"/>
        <v>0</v>
      </c>
      <c r="DA40" s="73" t="b">
        <f t="shared" si="204"/>
        <v>0</v>
      </c>
      <c r="DB40" s="73" t="b">
        <f t="shared" si="204"/>
        <v>0</v>
      </c>
      <c r="DC40" s="73" t="b">
        <f t="shared" si="204"/>
        <v>0</v>
      </c>
      <c r="DD40" s="73" t="b">
        <f t="shared" si="204"/>
        <v>0</v>
      </c>
      <c r="DE40" s="73" t="b">
        <f t="shared" si="204"/>
        <v>0</v>
      </c>
      <c r="DF40" s="73" t="b">
        <f t="shared" si="204"/>
        <v>1</v>
      </c>
      <c r="DG40" s="73" t="b">
        <f t="shared" si="204"/>
        <v>0</v>
      </c>
      <c r="DH40" s="73" t="b">
        <f t="shared" si="204"/>
        <v>0</v>
      </c>
      <c r="DI40" s="73" t="b">
        <f t="shared" si="204"/>
        <v>0</v>
      </c>
      <c r="DJ40" s="73" t="b">
        <f t="shared" si="204"/>
        <v>0</v>
      </c>
      <c r="DK40" s="73" t="b">
        <f t="shared" si="204"/>
        <v>0</v>
      </c>
      <c r="DL40" s="73" t="b">
        <f t="shared" si="204"/>
        <v>0</v>
      </c>
      <c r="DM40" s="73" t="b">
        <f t="shared" si="204"/>
        <v>0</v>
      </c>
      <c r="DN40" s="73" t="b">
        <f t="shared" si="204"/>
        <v>0</v>
      </c>
      <c r="DO40" s="73" t="b">
        <f t="shared" si="204"/>
        <v>0</v>
      </c>
      <c r="DP40" s="73" t="b">
        <f t="shared" si="204"/>
        <v>0</v>
      </c>
      <c r="DQ40" s="73" t="b">
        <f t="shared" si="204"/>
        <v>0</v>
      </c>
      <c r="DR40" s="73" t="b">
        <f t="shared" si="204"/>
        <v>1</v>
      </c>
      <c r="DS40" s="73" t="b">
        <f t="shared" si="204"/>
        <v>0</v>
      </c>
      <c r="DT40" s="73" t="b">
        <f t="shared" si="204"/>
        <v>0</v>
      </c>
      <c r="DU40" s="73" t="b">
        <f t="shared" si="204"/>
        <v>0</v>
      </c>
      <c r="DV40" s="73" t="b">
        <f t="shared" si="204"/>
        <v>0</v>
      </c>
      <c r="DW40" s="73" t="b">
        <f t="shared" si="204"/>
        <v>0</v>
      </c>
      <c r="DX40" s="73" t="b">
        <f t="shared" si="204"/>
        <v>0</v>
      </c>
      <c r="DY40" s="73" t="b">
        <f t="shared" si="204"/>
        <v>0</v>
      </c>
      <c r="DZ40" s="73" t="b">
        <f t="shared" si="204"/>
        <v>0</v>
      </c>
      <c r="EA40" s="73" t="b">
        <f t="shared" si="204"/>
        <v>0</v>
      </c>
      <c r="EB40" s="73" t="b">
        <f t="shared" ref="EB40:FZ42" si="205">IF(OR($B5="",$B5=0),"",INT(EB$38/$J5)=EB$38/$J5)</f>
        <v>0</v>
      </c>
      <c r="EC40" s="73" t="b">
        <f t="shared" si="205"/>
        <v>0</v>
      </c>
      <c r="ED40" s="73" t="b">
        <f t="shared" si="205"/>
        <v>1</v>
      </c>
      <c r="EE40" s="73" t="b">
        <f t="shared" si="205"/>
        <v>0</v>
      </c>
      <c r="EF40" s="73" t="b">
        <f t="shared" si="205"/>
        <v>0</v>
      </c>
      <c r="EG40" s="73" t="b">
        <f t="shared" si="205"/>
        <v>0</v>
      </c>
      <c r="EH40" s="73" t="b">
        <f t="shared" si="205"/>
        <v>0</v>
      </c>
      <c r="EI40" s="73" t="b">
        <f t="shared" si="205"/>
        <v>0</v>
      </c>
      <c r="EJ40" s="73" t="b">
        <f t="shared" si="205"/>
        <v>0</v>
      </c>
      <c r="EK40" s="73" t="b">
        <f t="shared" si="205"/>
        <v>0</v>
      </c>
      <c r="EL40" s="73" t="b">
        <f t="shared" si="205"/>
        <v>0</v>
      </c>
      <c r="EM40" s="73" t="b">
        <f t="shared" si="205"/>
        <v>0</v>
      </c>
      <c r="EN40" s="73" t="b">
        <f t="shared" si="205"/>
        <v>0</v>
      </c>
      <c r="EO40" s="73" t="b">
        <f t="shared" si="205"/>
        <v>0</v>
      </c>
      <c r="EP40" s="73" t="b">
        <f t="shared" si="205"/>
        <v>1</v>
      </c>
      <c r="EQ40" s="73" t="b">
        <f t="shared" si="205"/>
        <v>0</v>
      </c>
      <c r="ER40" s="73" t="b">
        <f t="shared" si="205"/>
        <v>0</v>
      </c>
      <c r="ES40" s="73" t="b">
        <f t="shared" si="205"/>
        <v>0</v>
      </c>
      <c r="ET40" s="73" t="b">
        <f t="shared" si="205"/>
        <v>0</v>
      </c>
      <c r="EU40" s="73" t="b">
        <f t="shared" si="205"/>
        <v>0</v>
      </c>
      <c r="EV40" s="73" t="b">
        <f t="shared" si="205"/>
        <v>0</v>
      </c>
      <c r="EW40" s="73" t="b">
        <f t="shared" si="205"/>
        <v>0</v>
      </c>
      <c r="EX40" s="73" t="b">
        <f t="shared" si="205"/>
        <v>0</v>
      </c>
      <c r="EY40" s="73" t="b">
        <f t="shared" si="205"/>
        <v>0</v>
      </c>
      <c r="EZ40" s="73" t="b">
        <f t="shared" si="205"/>
        <v>0</v>
      </c>
      <c r="FA40" s="73" t="b">
        <f t="shared" si="205"/>
        <v>0</v>
      </c>
      <c r="FB40" s="73" t="b">
        <f t="shared" si="205"/>
        <v>1</v>
      </c>
      <c r="FC40" s="73" t="b">
        <f t="shared" si="205"/>
        <v>0</v>
      </c>
      <c r="FD40" s="73" t="b">
        <f t="shared" si="205"/>
        <v>0</v>
      </c>
      <c r="FE40" s="73" t="b">
        <f t="shared" si="205"/>
        <v>0</v>
      </c>
      <c r="FF40" s="73" t="b">
        <f t="shared" si="205"/>
        <v>0</v>
      </c>
      <c r="FG40" s="73" t="b">
        <f t="shared" si="205"/>
        <v>0</v>
      </c>
      <c r="FH40" s="73" t="b">
        <f t="shared" si="205"/>
        <v>0</v>
      </c>
      <c r="FI40" s="73" t="b">
        <f t="shared" si="205"/>
        <v>0</v>
      </c>
      <c r="FJ40" s="73" t="b">
        <f t="shared" si="205"/>
        <v>0</v>
      </c>
      <c r="FK40" s="73" t="b">
        <f t="shared" si="205"/>
        <v>0</v>
      </c>
      <c r="FL40" s="73" t="b">
        <f t="shared" si="205"/>
        <v>0</v>
      </c>
      <c r="FM40" s="73" t="b">
        <f t="shared" si="205"/>
        <v>0</v>
      </c>
      <c r="FN40" s="73" t="b">
        <f t="shared" si="205"/>
        <v>1</v>
      </c>
      <c r="FO40" s="73" t="b">
        <f t="shared" si="205"/>
        <v>0</v>
      </c>
      <c r="FP40" s="73" t="b">
        <f t="shared" si="205"/>
        <v>0</v>
      </c>
      <c r="FQ40" s="73" t="b">
        <f t="shared" si="205"/>
        <v>0</v>
      </c>
      <c r="FR40" s="73" t="b">
        <f t="shared" si="205"/>
        <v>0</v>
      </c>
      <c r="FS40" s="73" t="b">
        <f t="shared" si="205"/>
        <v>0</v>
      </c>
      <c r="FT40" s="73" t="b">
        <f t="shared" si="205"/>
        <v>0</v>
      </c>
      <c r="FU40" s="73" t="b">
        <f t="shared" si="205"/>
        <v>0</v>
      </c>
      <c r="FV40" s="73" t="b">
        <f t="shared" si="205"/>
        <v>0</v>
      </c>
      <c r="FW40" s="73" t="b">
        <f t="shared" si="205"/>
        <v>0</v>
      </c>
      <c r="FX40" s="73" t="b">
        <f t="shared" si="205"/>
        <v>0</v>
      </c>
      <c r="FY40" s="73" t="b">
        <f t="shared" si="205"/>
        <v>0</v>
      </c>
      <c r="FZ40" s="86" t="b">
        <f t="shared" si="205"/>
        <v>1</v>
      </c>
    </row>
    <row r="41" spans="2:182" x14ac:dyDescent="0.2">
      <c r="B41" s="85"/>
      <c r="C41" s="73" t="b">
        <f t="shared" ref="C41:R44" si="206">IF(OR($B6="",$B6=0),"",INT(C$38/$J6)=C$38/$J6)</f>
        <v>0</v>
      </c>
      <c r="D41" s="73" t="b">
        <f t="shared" si="206"/>
        <v>0</v>
      </c>
      <c r="E41" s="73" t="b">
        <f t="shared" si="206"/>
        <v>0</v>
      </c>
      <c r="F41" s="73" t="b">
        <f t="shared" si="206"/>
        <v>0</v>
      </c>
      <c r="G41" s="73" t="b">
        <f t="shared" si="206"/>
        <v>0</v>
      </c>
      <c r="H41" s="73" t="b">
        <f t="shared" si="206"/>
        <v>0</v>
      </c>
      <c r="I41" s="73" t="b">
        <f t="shared" si="206"/>
        <v>0</v>
      </c>
      <c r="J41" s="73" t="b">
        <f t="shared" si="206"/>
        <v>0</v>
      </c>
      <c r="K41" s="73" t="b">
        <f t="shared" si="206"/>
        <v>0</v>
      </c>
      <c r="L41" s="73" t="b">
        <f t="shared" si="206"/>
        <v>0</v>
      </c>
      <c r="M41" s="73" t="b">
        <f t="shared" si="206"/>
        <v>0</v>
      </c>
      <c r="N41" s="73" t="b">
        <f t="shared" si="206"/>
        <v>1</v>
      </c>
      <c r="O41" s="73" t="b">
        <f t="shared" si="206"/>
        <v>0</v>
      </c>
      <c r="P41" s="73" t="b">
        <f t="shared" si="206"/>
        <v>0</v>
      </c>
      <c r="Q41" s="73" t="b">
        <f t="shared" si="206"/>
        <v>0</v>
      </c>
      <c r="R41" s="73" t="b">
        <f t="shared" si="206"/>
        <v>0</v>
      </c>
      <c r="S41" s="73" t="b">
        <f t="shared" si="203"/>
        <v>0</v>
      </c>
      <c r="T41" s="73" t="b">
        <f t="shared" si="203"/>
        <v>0</v>
      </c>
      <c r="U41" s="73" t="b">
        <f t="shared" si="203"/>
        <v>0</v>
      </c>
      <c r="V41" s="73" t="b">
        <f t="shared" si="203"/>
        <v>0</v>
      </c>
      <c r="W41" s="73" t="b">
        <f t="shared" si="203"/>
        <v>0</v>
      </c>
      <c r="X41" s="73" t="b">
        <f t="shared" si="203"/>
        <v>0</v>
      </c>
      <c r="Y41" s="73" t="b">
        <f t="shared" si="203"/>
        <v>0</v>
      </c>
      <c r="Z41" s="73" t="b">
        <f t="shared" si="203"/>
        <v>1</v>
      </c>
      <c r="AA41" s="73" t="b">
        <f t="shared" si="203"/>
        <v>0</v>
      </c>
      <c r="AB41" s="73" t="b">
        <f t="shared" si="203"/>
        <v>0</v>
      </c>
      <c r="AC41" s="73" t="b">
        <f t="shared" si="203"/>
        <v>0</v>
      </c>
      <c r="AD41" s="73" t="b">
        <f t="shared" si="203"/>
        <v>0</v>
      </c>
      <c r="AE41" s="73" t="b">
        <f t="shared" si="203"/>
        <v>0</v>
      </c>
      <c r="AF41" s="73" t="b">
        <f t="shared" si="203"/>
        <v>0</v>
      </c>
      <c r="AG41" s="73" t="b">
        <f t="shared" si="203"/>
        <v>0</v>
      </c>
      <c r="AH41" s="73" t="b">
        <f t="shared" si="203"/>
        <v>0</v>
      </c>
      <c r="AI41" s="73" t="b">
        <f t="shared" si="203"/>
        <v>0</v>
      </c>
      <c r="AJ41" s="73" t="b">
        <f t="shared" si="203"/>
        <v>0</v>
      </c>
      <c r="AK41" s="73" t="b">
        <f t="shared" si="203"/>
        <v>0</v>
      </c>
      <c r="AL41" s="73" t="b">
        <f t="shared" si="203"/>
        <v>1</v>
      </c>
      <c r="AM41" s="73" t="b">
        <f t="shared" si="203"/>
        <v>0</v>
      </c>
      <c r="AN41" s="73" t="b">
        <f t="shared" si="203"/>
        <v>0</v>
      </c>
      <c r="AO41" s="73" t="b">
        <f t="shared" si="203"/>
        <v>0</v>
      </c>
      <c r="AP41" s="73" t="b">
        <f t="shared" si="203"/>
        <v>0</v>
      </c>
      <c r="AQ41" s="73" t="b">
        <f t="shared" si="203"/>
        <v>0</v>
      </c>
      <c r="AR41" s="73" t="b">
        <f t="shared" si="203"/>
        <v>0</v>
      </c>
      <c r="AS41" s="73" t="b">
        <f t="shared" si="203"/>
        <v>0</v>
      </c>
      <c r="AT41" s="73" t="b">
        <f t="shared" si="203"/>
        <v>0</v>
      </c>
      <c r="AU41" s="73" t="b">
        <f t="shared" si="203"/>
        <v>0</v>
      </c>
      <c r="AV41" s="73" t="b">
        <f t="shared" si="203"/>
        <v>0</v>
      </c>
      <c r="AW41" s="73" t="b">
        <f t="shared" si="203"/>
        <v>0</v>
      </c>
      <c r="AX41" s="73" t="b">
        <f t="shared" si="203"/>
        <v>1</v>
      </c>
      <c r="AY41" s="73" t="b">
        <f t="shared" si="203"/>
        <v>0</v>
      </c>
      <c r="AZ41" s="73" t="b">
        <f t="shared" si="203"/>
        <v>0</v>
      </c>
      <c r="BA41" s="73" t="b">
        <f t="shared" si="203"/>
        <v>0</v>
      </c>
      <c r="BB41" s="73" t="b">
        <f t="shared" si="203"/>
        <v>0</v>
      </c>
      <c r="BC41" s="73" t="b">
        <f t="shared" si="203"/>
        <v>0</v>
      </c>
      <c r="BD41" s="73" t="b">
        <f t="shared" si="203"/>
        <v>0</v>
      </c>
      <c r="BE41" s="73" t="b">
        <f t="shared" si="203"/>
        <v>0</v>
      </c>
      <c r="BF41" s="73" t="b">
        <f t="shared" si="203"/>
        <v>0</v>
      </c>
      <c r="BG41" s="73" t="b">
        <f t="shared" si="203"/>
        <v>0</v>
      </c>
      <c r="BH41" s="73" t="b">
        <f t="shared" si="203"/>
        <v>0</v>
      </c>
      <c r="BI41" s="73" t="b">
        <f t="shared" si="203"/>
        <v>0</v>
      </c>
      <c r="BJ41" s="73" t="b">
        <f t="shared" si="203"/>
        <v>1</v>
      </c>
      <c r="BK41" s="73" t="b">
        <f t="shared" si="203"/>
        <v>0</v>
      </c>
      <c r="BL41" s="73" t="b">
        <f t="shared" si="203"/>
        <v>0</v>
      </c>
      <c r="BM41" s="73" t="b">
        <f t="shared" si="203"/>
        <v>0</v>
      </c>
      <c r="BN41" s="73" t="b">
        <f t="shared" si="203"/>
        <v>0</v>
      </c>
      <c r="BO41" s="73" t="b">
        <f t="shared" si="203"/>
        <v>0</v>
      </c>
      <c r="BP41" s="73" t="b">
        <f t="shared" si="204"/>
        <v>0</v>
      </c>
      <c r="BQ41" s="73" t="b">
        <f t="shared" si="204"/>
        <v>0</v>
      </c>
      <c r="BR41" s="73" t="b">
        <f t="shared" si="204"/>
        <v>0</v>
      </c>
      <c r="BS41" s="73" t="b">
        <f t="shared" si="204"/>
        <v>0</v>
      </c>
      <c r="BT41" s="73" t="b">
        <f t="shared" si="204"/>
        <v>0</v>
      </c>
      <c r="BU41" s="73" t="b">
        <f t="shared" si="204"/>
        <v>0</v>
      </c>
      <c r="BV41" s="73" t="b">
        <f t="shared" si="204"/>
        <v>1</v>
      </c>
      <c r="BW41" s="73" t="b">
        <f t="shared" si="204"/>
        <v>0</v>
      </c>
      <c r="BX41" s="73" t="b">
        <f t="shared" si="204"/>
        <v>0</v>
      </c>
      <c r="BY41" s="73" t="b">
        <f t="shared" si="204"/>
        <v>0</v>
      </c>
      <c r="BZ41" s="73" t="b">
        <f t="shared" si="204"/>
        <v>0</v>
      </c>
      <c r="CA41" s="73" t="b">
        <f t="shared" si="204"/>
        <v>0</v>
      </c>
      <c r="CB41" s="73" t="b">
        <f t="shared" si="204"/>
        <v>0</v>
      </c>
      <c r="CC41" s="73" t="b">
        <f t="shared" si="204"/>
        <v>0</v>
      </c>
      <c r="CD41" s="73" t="b">
        <f t="shared" si="204"/>
        <v>0</v>
      </c>
      <c r="CE41" s="73" t="b">
        <f t="shared" si="204"/>
        <v>0</v>
      </c>
      <c r="CF41" s="73" t="b">
        <f t="shared" si="204"/>
        <v>0</v>
      </c>
      <c r="CG41" s="73" t="b">
        <f t="shared" si="204"/>
        <v>0</v>
      </c>
      <c r="CH41" s="73" t="b">
        <f t="shared" si="204"/>
        <v>1</v>
      </c>
      <c r="CI41" s="73" t="b">
        <f t="shared" si="204"/>
        <v>0</v>
      </c>
      <c r="CJ41" s="73" t="b">
        <f t="shared" si="204"/>
        <v>0</v>
      </c>
      <c r="CK41" s="73" t="b">
        <f t="shared" si="204"/>
        <v>0</v>
      </c>
      <c r="CL41" s="73" t="b">
        <f t="shared" si="204"/>
        <v>0</v>
      </c>
      <c r="CM41" s="73" t="b">
        <f t="shared" si="204"/>
        <v>0</v>
      </c>
      <c r="CN41" s="73" t="b">
        <f t="shared" si="204"/>
        <v>0</v>
      </c>
      <c r="CO41" s="73" t="b">
        <f t="shared" si="204"/>
        <v>0</v>
      </c>
      <c r="CP41" s="73" t="b">
        <f t="shared" si="204"/>
        <v>0</v>
      </c>
      <c r="CQ41" s="73" t="b">
        <f t="shared" si="204"/>
        <v>0</v>
      </c>
      <c r="CR41" s="73" t="b">
        <f t="shared" si="204"/>
        <v>0</v>
      </c>
      <c r="CS41" s="73" t="b">
        <f t="shared" si="204"/>
        <v>0</v>
      </c>
      <c r="CT41" s="73" t="b">
        <f t="shared" si="204"/>
        <v>1</v>
      </c>
      <c r="CU41" s="73" t="b">
        <f t="shared" si="204"/>
        <v>0</v>
      </c>
      <c r="CV41" s="73" t="b">
        <f t="shared" si="204"/>
        <v>0</v>
      </c>
      <c r="CW41" s="73" t="b">
        <f t="shared" si="204"/>
        <v>0</v>
      </c>
      <c r="CX41" s="73" t="b">
        <f t="shared" si="204"/>
        <v>0</v>
      </c>
      <c r="CY41" s="73" t="b">
        <f t="shared" si="204"/>
        <v>0</v>
      </c>
      <c r="CZ41" s="73" t="b">
        <f t="shared" si="204"/>
        <v>0</v>
      </c>
      <c r="DA41" s="73" t="b">
        <f t="shared" si="204"/>
        <v>0</v>
      </c>
      <c r="DB41" s="73" t="b">
        <f t="shared" si="204"/>
        <v>0</v>
      </c>
      <c r="DC41" s="73" t="b">
        <f t="shared" si="204"/>
        <v>0</v>
      </c>
      <c r="DD41" s="73" t="b">
        <f t="shared" si="204"/>
        <v>0</v>
      </c>
      <c r="DE41" s="73" t="b">
        <f t="shared" si="204"/>
        <v>0</v>
      </c>
      <c r="DF41" s="73" t="b">
        <f t="shared" si="204"/>
        <v>1</v>
      </c>
      <c r="DG41" s="73" t="b">
        <f t="shared" si="204"/>
        <v>0</v>
      </c>
      <c r="DH41" s="73" t="b">
        <f t="shared" si="204"/>
        <v>0</v>
      </c>
      <c r="DI41" s="73" t="b">
        <f t="shared" si="204"/>
        <v>0</v>
      </c>
      <c r="DJ41" s="73" t="b">
        <f t="shared" si="204"/>
        <v>0</v>
      </c>
      <c r="DK41" s="73" t="b">
        <f t="shared" si="204"/>
        <v>0</v>
      </c>
      <c r="DL41" s="73" t="b">
        <f t="shared" si="204"/>
        <v>0</v>
      </c>
      <c r="DM41" s="73" t="b">
        <f t="shared" si="204"/>
        <v>0</v>
      </c>
      <c r="DN41" s="73" t="b">
        <f t="shared" si="204"/>
        <v>0</v>
      </c>
      <c r="DO41" s="73" t="b">
        <f t="shared" si="204"/>
        <v>0</v>
      </c>
      <c r="DP41" s="73" t="b">
        <f t="shared" si="204"/>
        <v>0</v>
      </c>
      <c r="DQ41" s="73" t="b">
        <f t="shared" si="204"/>
        <v>0</v>
      </c>
      <c r="DR41" s="73" t="b">
        <f t="shared" si="204"/>
        <v>1</v>
      </c>
      <c r="DS41" s="73" t="b">
        <f t="shared" si="204"/>
        <v>0</v>
      </c>
      <c r="DT41" s="73" t="b">
        <f t="shared" si="204"/>
        <v>0</v>
      </c>
      <c r="DU41" s="73" t="b">
        <f t="shared" si="204"/>
        <v>0</v>
      </c>
      <c r="DV41" s="73" t="b">
        <f t="shared" si="204"/>
        <v>0</v>
      </c>
      <c r="DW41" s="73" t="b">
        <f t="shared" si="204"/>
        <v>0</v>
      </c>
      <c r="DX41" s="73" t="b">
        <f t="shared" si="204"/>
        <v>0</v>
      </c>
      <c r="DY41" s="73" t="b">
        <f t="shared" si="204"/>
        <v>0</v>
      </c>
      <c r="DZ41" s="73" t="b">
        <f t="shared" si="204"/>
        <v>0</v>
      </c>
      <c r="EA41" s="73" t="b">
        <f t="shared" si="204"/>
        <v>0</v>
      </c>
      <c r="EB41" s="73" t="b">
        <f t="shared" si="205"/>
        <v>0</v>
      </c>
      <c r="EC41" s="73" t="b">
        <f t="shared" si="205"/>
        <v>0</v>
      </c>
      <c r="ED41" s="73" t="b">
        <f t="shared" si="205"/>
        <v>1</v>
      </c>
      <c r="EE41" s="73" t="b">
        <f t="shared" si="205"/>
        <v>0</v>
      </c>
      <c r="EF41" s="73" t="b">
        <f t="shared" si="205"/>
        <v>0</v>
      </c>
      <c r="EG41" s="73" t="b">
        <f t="shared" si="205"/>
        <v>0</v>
      </c>
      <c r="EH41" s="73" t="b">
        <f t="shared" si="205"/>
        <v>0</v>
      </c>
      <c r="EI41" s="73" t="b">
        <f t="shared" si="205"/>
        <v>0</v>
      </c>
      <c r="EJ41" s="73" t="b">
        <f t="shared" si="205"/>
        <v>0</v>
      </c>
      <c r="EK41" s="73" t="b">
        <f t="shared" si="205"/>
        <v>0</v>
      </c>
      <c r="EL41" s="73" t="b">
        <f t="shared" si="205"/>
        <v>0</v>
      </c>
      <c r="EM41" s="73" t="b">
        <f t="shared" si="205"/>
        <v>0</v>
      </c>
      <c r="EN41" s="73" t="b">
        <f t="shared" si="205"/>
        <v>0</v>
      </c>
      <c r="EO41" s="73" t="b">
        <f t="shared" si="205"/>
        <v>0</v>
      </c>
      <c r="EP41" s="73" t="b">
        <f t="shared" si="205"/>
        <v>1</v>
      </c>
      <c r="EQ41" s="73" t="b">
        <f t="shared" si="205"/>
        <v>0</v>
      </c>
      <c r="ER41" s="73" t="b">
        <f t="shared" si="205"/>
        <v>0</v>
      </c>
      <c r="ES41" s="73" t="b">
        <f t="shared" si="205"/>
        <v>0</v>
      </c>
      <c r="ET41" s="73" t="b">
        <f t="shared" si="205"/>
        <v>0</v>
      </c>
      <c r="EU41" s="73" t="b">
        <f t="shared" si="205"/>
        <v>0</v>
      </c>
      <c r="EV41" s="73" t="b">
        <f t="shared" si="205"/>
        <v>0</v>
      </c>
      <c r="EW41" s="73" t="b">
        <f t="shared" si="205"/>
        <v>0</v>
      </c>
      <c r="EX41" s="73" t="b">
        <f t="shared" si="205"/>
        <v>0</v>
      </c>
      <c r="EY41" s="73" t="b">
        <f t="shared" si="205"/>
        <v>0</v>
      </c>
      <c r="EZ41" s="73" t="b">
        <f t="shared" si="205"/>
        <v>0</v>
      </c>
      <c r="FA41" s="73" t="b">
        <f t="shared" si="205"/>
        <v>0</v>
      </c>
      <c r="FB41" s="73" t="b">
        <f t="shared" si="205"/>
        <v>1</v>
      </c>
      <c r="FC41" s="73" t="b">
        <f t="shared" si="205"/>
        <v>0</v>
      </c>
      <c r="FD41" s="73" t="b">
        <f t="shared" si="205"/>
        <v>0</v>
      </c>
      <c r="FE41" s="73" t="b">
        <f t="shared" si="205"/>
        <v>0</v>
      </c>
      <c r="FF41" s="73" t="b">
        <f t="shared" si="205"/>
        <v>0</v>
      </c>
      <c r="FG41" s="73" t="b">
        <f t="shared" si="205"/>
        <v>0</v>
      </c>
      <c r="FH41" s="73" t="b">
        <f t="shared" si="205"/>
        <v>0</v>
      </c>
      <c r="FI41" s="73" t="b">
        <f t="shared" si="205"/>
        <v>0</v>
      </c>
      <c r="FJ41" s="73" t="b">
        <f t="shared" si="205"/>
        <v>0</v>
      </c>
      <c r="FK41" s="73" t="b">
        <f t="shared" si="205"/>
        <v>0</v>
      </c>
      <c r="FL41" s="73" t="b">
        <f t="shared" si="205"/>
        <v>0</v>
      </c>
      <c r="FM41" s="73" t="b">
        <f t="shared" si="205"/>
        <v>0</v>
      </c>
      <c r="FN41" s="73" t="b">
        <f t="shared" si="205"/>
        <v>1</v>
      </c>
      <c r="FO41" s="73" t="b">
        <f t="shared" si="205"/>
        <v>0</v>
      </c>
      <c r="FP41" s="73" t="b">
        <f t="shared" si="205"/>
        <v>0</v>
      </c>
      <c r="FQ41" s="73" t="b">
        <f t="shared" si="205"/>
        <v>0</v>
      </c>
      <c r="FR41" s="73" t="b">
        <f t="shared" si="205"/>
        <v>0</v>
      </c>
      <c r="FS41" s="73" t="b">
        <f t="shared" si="205"/>
        <v>0</v>
      </c>
      <c r="FT41" s="73" t="b">
        <f t="shared" si="205"/>
        <v>0</v>
      </c>
      <c r="FU41" s="73" t="b">
        <f t="shared" si="205"/>
        <v>0</v>
      </c>
      <c r="FV41" s="73" t="b">
        <f t="shared" si="205"/>
        <v>0</v>
      </c>
      <c r="FW41" s="73" t="b">
        <f t="shared" si="205"/>
        <v>0</v>
      </c>
      <c r="FX41" s="73" t="b">
        <f t="shared" si="205"/>
        <v>0</v>
      </c>
      <c r="FY41" s="73" t="b">
        <f t="shared" si="205"/>
        <v>0</v>
      </c>
      <c r="FZ41" s="86" t="b">
        <f t="shared" si="205"/>
        <v>1</v>
      </c>
    </row>
    <row r="42" spans="2:182" x14ac:dyDescent="0.2">
      <c r="B42" s="85"/>
      <c r="C42" s="73" t="b">
        <f t="shared" si="206"/>
        <v>0</v>
      </c>
      <c r="D42" s="73" t="b">
        <f t="shared" ref="D42:BO44" si="207">IF(OR($B7="",$B7=0),"",INT(D$38/$J7)=D$38/$J7)</f>
        <v>0</v>
      </c>
      <c r="E42" s="73" t="b">
        <f t="shared" si="207"/>
        <v>0</v>
      </c>
      <c r="F42" s="73" t="b">
        <f t="shared" si="207"/>
        <v>0</v>
      </c>
      <c r="G42" s="73" t="b">
        <f t="shared" si="207"/>
        <v>0</v>
      </c>
      <c r="H42" s="73" t="b">
        <f t="shared" si="207"/>
        <v>0</v>
      </c>
      <c r="I42" s="73" t="b">
        <f t="shared" si="207"/>
        <v>0</v>
      </c>
      <c r="J42" s="73" t="b">
        <f t="shared" si="207"/>
        <v>0</v>
      </c>
      <c r="K42" s="73" t="b">
        <f t="shared" si="207"/>
        <v>0</v>
      </c>
      <c r="L42" s="73" t="b">
        <f t="shared" si="207"/>
        <v>0</v>
      </c>
      <c r="M42" s="73" t="b">
        <f t="shared" si="207"/>
        <v>0</v>
      </c>
      <c r="N42" s="73" t="b">
        <f t="shared" si="207"/>
        <v>1</v>
      </c>
      <c r="O42" s="73" t="b">
        <f t="shared" si="207"/>
        <v>0</v>
      </c>
      <c r="P42" s="73" t="b">
        <f t="shared" si="207"/>
        <v>0</v>
      </c>
      <c r="Q42" s="73" t="b">
        <f t="shared" si="207"/>
        <v>0</v>
      </c>
      <c r="R42" s="73" t="b">
        <f t="shared" si="207"/>
        <v>0</v>
      </c>
      <c r="S42" s="73" t="b">
        <f t="shared" si="207"/>
        <v>0</v>
      </c>
      <c r="T42" s="73" t="b">
        <f t="shared" si="207"/>
        <v>0</v>
      </c>
      <c r="U42" s="73" t="b">
        <f t="shared" si="207"/>
        <v>0</v>
      </c>
      <c r="V42" s="73" t="b">
        <f t="shared" si="207"/>
        <v>0</v>
      </c>
      <c r="W42" s="73" t="b">
        <f t="shared" si="207"/>
        <v>0</v>
      </c>
      <c r="X42" s="73" t="b">
        <f t="shared" si="207"/>
        <v>0</v>
      </c>
      <c r="Y42" s="73" t="b">
        <f t="shared" si="207"/>
        <v>0</v>
      </c>
      <c r="Z42" s="73" t="b">
        <f t="shared" si="207"/>
        <v>1</v>
      </c>
      <c r="AA42" s="73" t="b">
        <f t="shared" si="207"/>
        <v>0</v>
      </c>
      <c r="AB42" s="73" t="b">
        <f t="shared" si="207"/>
        <v>0</v>
      </c>
      <c r="AC42" s="73" t="b">
        <f t="shared" si="207"/>
        <v>0</v>
      </c>
      <c r="AD42" s="73" t="b">
        <f t="shared" si="207"/>
        <v>0</v>
      </c>
      <c r="AE42" s="73" t="b">
        <f t="shared" si="207"/>
        <v>0</v>
      </c>
      <c r="AF42" s="73" t="b">
        <f t="shared" si="207"/>
        <v>0</v>
      </c>
      <c r="AG42" s="73" t="b">
        <f t="shared" si="207"/>
        <v>0</v>
      </c>
      <c r="AH42" s="73" t="b">
        <f t="shared" si="207"/>
        <v>0</v>
      </c>
      <c r="AI42" s="73" t="b">
        <f t="shared" si="207"/>
        <v>0</v>
      </c>
      <c r="AJ42" s="73" t="b">
        <f t="shared" si="207"/>
        <v>0</v>
      </c>
      <c r="AK42" s="73" t="b">
        <f t="shared" si="207"/>
        <v>0</v>
      </c>
      <c r="AL42" s="73" t="b">
        <f t="shared" si="207"/>
        <v>1</v>
      </c>
      <c r="AM42" s="73" t="b">
        <f t="shared" si="207"/>
        <v>0</v>
      </c>
      <c r="AN42" s="73" t="b">
        <f t="shared" si="207"/>
        <v>0</v>
      </c>
      <c r="AO42" s="73" t="b">
        <f t="shared" si="207"/>
        <v>0</v>
      </c>
      <c r="AP42" s="73" t="b">
        <f t="shared" si="207"/>
        <v>0</v>
      </c>
      <c r="AQ42" s="73" t="b">
        <f t="shared" si="207"/>
        <v>0</v>
      </c>
      <c r="AR42" s="73" t="b">
        <f t="shared" si="207"/>
        <v>0</v>
      </c>
      <c r="AS42" s="73" t="b">
        <f t="shared" si="207"/>
        <v>0</v>
      </c>
      <c r="AT42" s="73" t="b">
        <f t="shared" si="207"/>
        <v>0</v>
      </c>
      <c r="AU42" s="73" t="b">
        <f t="shared" si="207"/>
        <v>0</v>
      </c>
      <c r="AV42" s="73" t="b">
        <f t="shared" si="207"/>
        <v>0</v>
      </c>
      <c r="AW42" s="73" t="b">
        <f t="shared" si="207"/>
        <v>0</v>
      </c>
      <c r="AX42" s="73" t="b">
        <f t="shared" si="207"/>
        <v>1</v>
      </c>
      <c r="AY42" s="73" t="b">
        <f t="shared" si="207"/>
        <v>0</v>
      </c>
      <c r="AZ42" s="73" t="b">
        <f t="shared" si="207"/>
        <v>0</v>
      </c>
      <c r="BA42" s="73" t="b">
        <f t="shared" si="207"/>
        <v>0</v>
      </c>
      <c r="BB42" s="73" t="b">
        <f t="shared" si="207"/>
        <v>0</v>
      </c>
      <c r="BC42" s="73" t="b">
        <f t="shared" si="207"/>
        <v>0</v>
      </c>
      <c r="BD42" s="73" t="b">
        <f t="shared" si="207"/>
        <v>0</v>
      </c>
      <c r="BE42" s="73" t="b">
        <f t="shared" si="207"/>
        <v>0</v>
      </c>
      <c r="BF42" s="73" t="b">
        <f t="shared" si="207"/>
        <v>0</v>
      </c>
      <c r="BG42" s="73" t="b">
        <f t="shared" si="207"/>
        <v>0</v>
      </c>
      <c r="BH42" s="73" t="b">
        <f t="shared" si="207"/>
        <v>0</v>
      </c>
      <c r="BI42" s="73" t="b">
        <f t="shared" si="207"/>
        <v>0</v>
      </c>
      <c r="BJ42" s="73" t="b">
        <f t="shared" si="207"/>
        <v>1</v>
      </c>
      <c r="BK42" s="73" t="b">
        <f t="shared" si="207"/>
        <v>0</v>
      </c>
      <c r="BL42" s="73" t="b">
        <f t="shared" si="207"/>
        <v>0</v>
      </c>
      <c r="BM42" s="73" t="b">
        <f t="shared" si="207"/>
        <v>0</v>
      </c>
      <c r="BN42" s="73" t="b">
        <f t="shared" si="207"/>
        <v>0</v>
      </c>
      <c r="BO42" s="73" t="b">
        <f t="shared" si="207"/>
        <v>0</v>
      </c>
      <c r="BP42" s="73" t="b">
        <f t="shared" si="204"/>
        <v>0</v>
      </c>
      <c r="BQ42" s="73" t="b">
        <f t="shared" si="204"/>
        <v>0</v>
      </c>
      <c r="BR42" s="73" t="b">
        <f t="shared" si="204"/>
        <v>0</v>
      </c>
      <c r="BS42" s="73" t="b">
        <f t="shared" si="204"/>
        <v>0</v>
      </c>
      <c r="BT42" s="73" t="b">
        <f t="shared" si="204"/>
        <v>0</v>
      </c>
      <c r="BU42" s="73" t="b">
        <f t="shared" si="204"/>
        <v>0</v>
      </c>
      <c r="BV42" s="73" t="b">
        <f t="shared" si="204"/>
        <v>1</v>
      </c>
      <c r="BW42" s="73" t="b">
        <f t="shared" si="204"/>
        <v>0</v>
      </c>
      <c r="BX42" s="73" t="b">
        <f t="shared" si="204"/>
        <v>0</v>
      </c>
      <c r="BY42" s="73" t="b">
        <f t="shared" si="204"/>
        <v>0</v>
      </c>
      <c r="BZ42" s="73" t="b">
        <f t="shared" si="204"/>
        <v>0</v>
      </c>
      <c r="CA42" s="73" t="b">
        <f t="shared" si="204"/>
        <v>0</v>
      </c>
      <c r="CB42" s="73" t="b">
        <f t="shared" si="204"/>
        <v>0</v>
      </c>
      <c r="CC42" s="73" t="b">
        <f t="shared" si="204"/>
        <v>0</v>
      </c>
      <c r="CD42" s="73" t="b">
        <f t="shared" si="204"/>
        <v>0</v>
      </c>
      <c r="CE42" s="73" t="b">
        <f t="shared" si="204"/>
        <v>0</v>
      </c>
      <c r="CF42" s="73" t="b">
        <f t="shared" si="204"/>
        <v>0</v>
      </c>
      <c r="CG42" s="73" t="b">
        <f t="shared" si="204"/>
        <v>0</v>
      </c>
      <c r="CH42" s="73" t="b">
        <f t="shared" si="204"/>
        <v>1</v>
      </c>
      <c r="CI42" s="73" t="b">
        <f t="shared" si="204"/>
        <v>0</v>
      </c>
      <c r="CJ42" s="73" t="b">
        <f t="shared" si="204"/>
        <v>0</v>
      </c>
      <c r="CK42" s="73" t="b">
        <f t="shared" si="204"/>
        <v>0</v>
      </c>
      <c r="CL42" s="73" t="b">
        <f t="shared" si="204"/>
        <v>0</v>
      </c>
      <c r="CM42" s="73" t="b">
        <f t="shared" si="204"/>
        <v>0</v>
      </c>
      <c r="CN42" s="73" t="b">
        <f t="shared" si="204"/>
        <v>0</v>
      </c>
      <c r="CO42" s="73" t="b">
        <f t="shared" si="204"/>
        <v>0</v>
      </c>
      <c r="CP42" s="73" t="b">
        <f t="shared" si="204"/>
        <v>0</v>
      </c>
      <c r="CQ42" s="73" t="b">
        <f t="shared" si="204"/>
        <v>0</v>
      </c>
      <c r="CR42" s="73" t="b">
        <f t="shared" si="204"/>
        <v>0</v>
      </c>
      <c r="CS42" s="73" t="b">
        <f t="shared" si="204"/>
        <v>0</v>
      </c>
      <c r="CT42" s="73" t="b">
        <f t="shared" si="204"/>
        <v>1</v>
      </c>
      <c r="CU42" s="73" t="b">
        <f t="shared" si="204"/>
        <v>0</v>
      </c>
      <c r="CV42" s="73" t="b">
        <f t="shared" si="204"/>
        <v>0</v>
      </c>
      <c r="CW42" s="73" t="b">
        <f t="shared" si="204"/>
        <v>0</v>
      </c>
      <c r="CX42" s="73" t="b">
        <f t="shared" si="204"/>
        <v>0</v>
      </c>
      <c r="CY42" s="73" t="b">
        <f t="shared" si="204"/>
        <v>0</v>
      </c>
      <c r="CZ42" s="73" t="b">
        <f t="shared" si="204"/>
        <v>0</v>
      </c>
      <c r="DA42" s="73" t="b">
        <f t="shared" si="204"/>
        <v>0</v>
      </c>
      <c r="DB42" s="73" t="b">
        <f t="shared" si="204"/>
        <v>0</v>
      </c>
      <c r="DC42" s="73" t="b">
        <f t="shared" si="204"/>
        <v>0</v>
      </c>
      <c r="DD42" s="73" t="b">
        <f t="shared" si="204"/>
        <v>0</v>
      </c>
      <c r="DE42" s="73" t="b">
        <f t="shared" si="204"/>
        <v>0</v>
      </c>
      <c r="DF42" s="73" t="b">
        <f t="shared" si="204"/>
        <v>1</v>
      </c>
      <c r="DG42" s="73" t="b">
        <f t="shared" si="204"/>
        <v>0</v>
      </c>
      <c r="DH42" s="73" t="b">
        <f t="shared" si="204"/>
        <v>0</v>
      </c>
      <c r="DI42" s="73" t="b">
        <f t="shared" si="204"/>
        <v>0</v>
      </c>
      <c r="DJ42" s="73" t="b">
        <f t="shared" si="204"/>
        <v>0</v>
      </c>
      <c r="DK42" s="73" t="b">
        <f t="shared" si="204"/>
        <v>0</v>
      </c>
      <c r="DL42" s="73" t="b">
        <f t="shared" si="204"/>
        <v>0</v>
      </c>
      <c r="DM42" s="73" t="b">
        <f t="shared" si="204"/>
        <v>0</v>
      </c>
      <c r="DN42" s="73" t="b">
        <f t="shared" si="204"/>
        <v>0</v>
      </c>
      <c r="DO42" s="73" t="b">
        <f t="shared" si="204"/>
        <v>0</v>
      </c>
      <c r="DP42" s="73" t="b">
        <f t="shared" si="204"/>
        <v>0</v>
      </c>
      <c r="DQ42" s="73" t="b">
        <f t="shared" si="204"/>
        <v>0</v>
      </c>
      <c r="DR42" s="73" t="b">
        <f t="shared" si="204"/>
        <v>1</v>
      </c>
      <c r="DS42" s="73" t="b">
        <f t="shared" si="204"/>
        <v>0</v>
      </c>
      <c r="DT42" s="73" t="b">
        <f t="shared" si="204"/>
        <v>0</v>
      </c>
      <c r="DU42" s="73" t="b">
        <f t="shared" si="204"/>
        <v>0</v>
      </c>
      <c r="DV42" s="73" t="b">
        <f t="shared" si="204"/>
        <v>0</v>
      </c>
      <c r="DW42" s="73" t="b">
        <f t="shared" si="204"/>
        <v>0</v>
      </c>
      <c r="DX42" s="73" t="b">
        <f t="shared" si="204"/>
        <v>0</v>
      </c>
      <c r="DY42" s="73" t="b">
        <f t="shared" si="204"/>
        <v>0</v>
      </c>
      <c r="DZ42" s="73" t="b">
        <f t="shared" si="204"/>
        <v>0</v>
      </c>
      <c r="EA42" s="73" t="b">
        <f t="shared" si="204"/>
        <v>0</v>
      </c>
      <c r="EB42" s="73" t="b">
        <f t="shared" si="205"/>
        <v>0</v>
      </c>
      <c r="EC42" s="73" t="b">
        <f t="shared" si="205"/>
        <v>0</v>
      </c>
      <c r="ED42" s="73" t="b">
        <f t="shared" si="205"/>
        <v>1</v>
      </c>
      <c r="EE42" s="73" t="b">
        <f t="shared" si="205"/>
        <v>0</v>
      </c>
      <c r="EF42" s="73" t="b">
        <f t="shared" si="205"/>
        <v>0</v>
      </c>
      <c r="EG42" s="73" t="b">
        <f t="shared" si="205"/>
        <v>0</v>
      </c>
      <c r="EH42" s="73" t="b">
        <f t="shared" si="205"/>
        <v>0</v>
      </c>
      <c r="EI42" s="73" t="b">
        <f t="shared" si="205"/>
        <v>0</v>
      </c>
      <c r="EJ42" s="73" t="b">
        <f t="shared" si="205"/>
        <v>0</v>
      </c>
      <c r="EK42" s="73" t="b">
        <f t="shared" si="205"/>
        <v>0</v>
      </c>
      <c r="EL42" s="73" t="b">
        <f t="shared" si="205"/>
        <v>0</v>
      </c>
      <c r="EM42" s="73" t="b">
        <f t="shared" si="205"/>
        <v>0</v>
      </c>
      <c r="EN42" s="73" t="b">
        <f t="shared" si="205"/>
        <v>0</v>
      </c>
      <c r="EO42" s="73" t="b">
        <f t="shared" si="205"/>
        <v>0</v>
      </c>
      <c r="EP42" s="73" t="b">
        <f t="shared" si="205"/>
        <v>1</v>
      </c>
      <c r="EQ42" s="73" t="b">
        <f t="shared" si="205"/>
        <v>0</v>
      </c>
      <c r="ER42" s="73" t="b">
        <f t="shared" si="205"/>
        <v>0</v>
      </c>
      <c r="ES42" s="73" t="b">
        <f t="shared" si="205"/>
        <v>0</v>
      </c>
      <c r="ET42" s="73" t="b">
        <f t="shared" si="205"/>
        <v>0</v>
      </c>
      <c r="EU42" s="73" t="b">
        <f t="shared" si="205"/>
        <v>0</v>
      </c>
      <c r="EV42" s="73" t="b">
        <f t="shared" si="205"/>
        <v>0</v>
      </c>
      <c r="EW42" s="73" t="b">
        <f t="shared" si="205"/>
        <v>0</v>
      </c>
      <c r="EX42" s="73" t="b">
        <f t="shared" si="205"/>
        <v>0</v>
      </c>
      <c r="EY42" s="73" t="b">
        <f t="shared" si="205"/>
        <v>0</v>
      </c>
      <c r="EZ42" s="73" t="b">
        <f t="shared" si="205"/>
        <v>0</v>
      </c>
      <c r="FA42" s="73" t="b">
        <f t="shared" si="205"/>
        <v>0</v>
      </c>
      <c r="FB42" s="73" t="b">
        <f t="shared" si="205"/>
        <v>1</v>
      </c>
      <c r="FC42" s="73" t="b">
        <f t="shared" si="205"/>
        <v>0</v>
      </c>
      <c r="FD42" s="73" t="b">
        <f t="shared" si="205"/>
        <v>0</v>
      </c>
      <c r="FE42" s="73" t="b">
        <f t="shared" si="205"/>
        <v>0</v>
      </c>
      <c r="FF42" s="73" t="b">
        <f t="shared" si="205"/>
        <v>0</v>
      </c>
      <c r="FG42" s="73" t="b">
        <f t="shared" si="205"/>
        <v>0</v>
      </c>
      <c r="FH42" s="73" t="b">
        <f t="shared" si="205"/>
        <v>0</v>
      </c>
      <c r="FI42" s="73" t="b">
        <f t="shared" si="205"/>
        <v>0</v>
      </c>
      <c r="FJ42" s="73" t="b">
        <f t="shared" si="205"/>
        <v>0</v>
      </c>
      <c r="FK42" s="73" t="b">
        <f t="shared" si="205"/>
        <v>0</v>
      </c>
      <c r="FL42" s="73" t="b">
        <f t="shared" si="205"/>
        <v>0</v>
      </c>
      <c r="FM42" s="73" t="b">
        <f t="shared" si="205"/>
        <v>0</v>
      </c>
      <c r="FN42" s="73" t="b">
        <f t="shared" si="205"/>
        <v>1</v>
      </c>
      <c r="FO42" s="73" t="b">
        <f t="shared" si="205"/>
        <v>0</v>
      </c>
      <c r="FP42" s="73" t="b">
        <f t="shared" si="205"/>
        <v>0</v>
      </c>
      <c r="FQ42" s="73" t="b">
        <f t="shared" si="205"/>
        <v>0</v>
      </c>
      <c r="FR42" s="73" t="b">
        <f t="shared" si="205"/>
        <v>0</v>
      </c>
      <c r="FS42" s="73" t="b">
        <f t="shared" si="205"/>
        <v>0</v>
      </c>
      <c r="FT42" s="73" t="b">
        <f t="shared" si="205"/>
        <v>0</v>
      </c>
      <c r="FU42" s="73" t="b">
        <f t="shared" si="205"/>
        <v>0</v>
      </c>
      <c r="FV42" s="73" t="b">
        <f t="shared" si="205"/>
        <v>0</v>
      </c>
      <c r="FW42" s="73" t="b">
        <f t="shared" si="205"/>
        <v>0</v>
      </c>
      <c r="FX42" s="73" t="b">
        <f t="shared" si="205"/>
        <v>0</v>
      </c>
      <c r="FY42" s="73" t="b">
        <f t="shared" si="205"/>
        <v>0</v>
      </c>
      <c r="FZ42" s="86" t="b">
        <f t="shared" si="205"/>
        <v>1</v>
      </c>
    </row>
    <row r="43" spans="2:182" x14ac:dyDescent="0.2">
      <c r="B43" s="85"/>
      <c r="C43" s="73" t="b">
        <f t="shared" si="206"/>
        <v>0</v>
      </c>
      <c r="D43" s="73" t="b">
        <f t="shared" si="207"/>
        <v>0</v>
      </c>
      <c r="E43" s="73" t="b">
        <f t="shared" si="207"/>
        <v>0</v>
      </c>
      <c r="F43" s="73" t="b">
        <f t="shared" si="207"/>
        <v>0</v>
      </c>
      <c r="G43" s="73" t="b">
        <f t="shared" si="207"/>
        <v>0</v>
      </c>
      <c r="H43" s="73" t="b">
        <f t="shared" si="207"/>
        <v>0</v>
      </c>
      <c r="I43" s="73" t="b">
        <f t="shared" si="207"/>
        <v>0</v>
      </c>
      <c r="J43" s="73" t="b">
        <f t="shared" si="207"/>
        <v>0</v>
      </c>
      <c r="K43" s="73" t="b">
        <f t="shared" si="207"/>
        <v>0</v>
      </c>
      <c r="L43" s="73" t="b">
        <f t="shared" si="207"/>
        <v>0</v>
      </c>
      <c r="M43" s="73" t="b">
        <f t="shared" si="207"/>
        <v>0</v>
      </c>
      <c r="N43" s="73" t="b">
        <f t="shared" si="207"/>
        <v>1</v>
      </c>
      <c r="O43" s="73" t="b">
        <f t="shared" si="207"/>
        <v>0</v>
      </c>
      <c r="P43" s="73" t="b">
        <f t="shared" si="207"/>
        <v>0</v>
      </c>
      <c r="Q43" s="73" t="b">
        <f t="shared" si="207"/>
        <v>0</v>
      </c>
      <c r="R43" s="73" t="b">
        <f t="shared" si="207"/>
        <v>0</v>
      </c>
      <c r="S43" s="73" t="b">
        <f t="shared" si="207"/>
        <v>0</v>
      </c>
      <c r="T43" s="73" t="b">
        <f t="shared" si="207"/>
        <v>0</v>
      </c>
      <c r="U43" s="73" t="b">
        <f t="shared" si="207"/>
        <v>0</v>
      </c>
      <c r="V43" s="73" t="b">
        <f t="shared" si="207"/>
        <v>0</v>
      </c>
      <c r="W43" s="73" t="b">
        <f t="shared" si="207"/>
        <v>0</v>
      </c>
      <c r="X43" s="73" t="b">
        <f t="shared" si="207"/>
        <v>0</v>
      </c>
      <c r="Y43" s="73" t="b">
        <f t="shared" si="207"/>
        <v>0</v>
      </c>
      <c r="Z43" s="73" t="b">
        <f t="shared" si="207"/>
        <v>1</v>
      </c>
      <c r="AA43" s="73" t="b">
        <f t="shared" si="207"/>
        <v>0</v>
      </c>
      <c r="AB43" s="73" t="b">
        <f t="shared" si="207"/>
        <v>0</v>
      </c>
      <c r="AC43" s="73" t="b">
        <f t="shared" si="207"/>
        <v>0</v>
      </c>
      <c r="AD43" s="73" t="b">
        <f t="shared" si="207"/>
        <v>0</v>
      </c>
      <c r="AE43" s="73" t="b">
        <f t="shared" si="207"/>
        <v>0</v>
      </c>
      <c r="AF43" s="73" t="b">
        <f t="shared" si="207"/>
        <v>0</v>
      </c>
      <c r="AG43" s="73" t="b">
        <f t="shared" si="207"/>
        <v>0</v>
      </c>
      <c r="AH43" s="73" t="b">
        <f t="shared" si="207"/>
        <v>0</v>
      </c>
      <c r="AI43" s="73" t="b">
        <f t="shared" si="207"/>
        <v>0</v>
      </c>
      <c r="AJ43" s="73" t="b">
        <f t="shared" si="207"/>
        <v>0</v>
      </c>
      <c r="AK43" s="73" t="b">
        <f t="shared" si="207"/>
        <v>0</v>
      </c>
      <c r="AL43" s="73" t="b">
        <f t="shared" si="207"/>
        <v>1</v>
      </c>
      <c r="AM43" s="73" t="b">
        <f t="shared" si="207"/>
        <v>0</v>
      </c>
      <c r="AN43" s="73" t="b">
        <f t="shared" si="207"/>
        <v>0</v>
      </c>
      <c r="AO43" s="73" t="b">
        <f t="shared" si="207"/>
        <v>0</v>
      </c>
      <c r="AP43" s="73" t="b">
        <f t="shared" si="207"/>
        <v>0</v>
      </c>
      <c r="AQ43" s="73" t="b">
        <f t="shared" si="207"/>
        <v>0</v>
      </c>
      <c r="AR43" s="73" t="b">
        <f t="shared" si="207"/>
        <v>0</v>
      </c>
      <c r="AS43" s="73" t="b">
        <f t="shared" si="207"/>
        <v>0</v>
      </c>
      <c r="AT43" s="73" t="b">
        <f t="shared" si="207"/>
        <v>0</v>
      </c>
      <c r="AU43" s="73" t="b">
        <f t="shared" si="207"/>
        <v>0</v>
      </c>
      <c r="AV43" s="73" t="b">
        <f t="shared" si="207"/>
        <v>0</v>
      </c>
      <c r="AW43" s="73" t="b">
        <f t="shared" si="207"/>
        <v>0</v>
      </c>
      <c r="AX43" s="73" t="b">
        <f t="shared" si="207"/>
        <v>1</v>
      </c>
      <c r="AY43" s="73" t="b">
        <f t="shared" si="207"/>
        <v>0</v>
      </c>
      <c r="AZ43" s="73" t="b">
        <f t="shared" si="207"/>
        <v>0</v>
      </c>
      <c r="BA43" s="73" t="b">
        <f t="shared" si="207"/>
        <v>0</v>
      </c>
      <c r="BB43" s="73" t="b">
        <f t="shared" si="207"/>
        <v>0</v>
      </c>
      <c r="BC43" s="73" t="b">
        <f t="shared" si="207"/>
        <v>0</v>
      </c>
      <c r="BD43" s="73" t="b">
        <f t="shared" si="207"/>
        <v>0</v>
      </c>
      <c r="BE43" s="73" t="b">
        <f t="shared" si="207"/>
        <v>0</v>
      </c>
      <c r="BF43" s="73" t="b">
        <f t="shared" si="207"/>
        <v>0</v>
      </c>
      <c r="BG43" s="73" t="b">
        <f t="shared" si="207"/>
        <v>0</v>
      </c>
      <c r="BH43" s="73" t="b">
        <f t="shared" si="207"/>
        <v>0</v>
      </c>
      <c r="BI43" s="73" t="b">
        <f t="shared" si="207"/>
        <v>0</v>
      </c>
      <c r="BJ43" s="73" t="b">
        <f t="shared" si="207"/>
        <v>1</v>
      </c>
      <c r="BK43" s="73" t="b">
        <f t="shared" si="207"/>
        <v>0</v>
      </c>
      <c r="BL43" s="73" t="b">
        <f t="shared" si="207"/>
        <v>0</v>
      </c>
      <c r="BM43" s="73" t="b">
        <f t="shared" si="207"/>
        <v>0</v>
      </c>
      <c r="BN43" s="73" t="b">
        <f t="shared" si="207"/>
        <v>0</v>
      </c>
      <c r="BO43" s="73" t="b">
        <f t="shared" si="207"/>
        <v>0</v>
      </c>
      <c r="BP43" s="73" t="b">
        <f t="shared" si="204"/>
        <v>0</v>
      </c>
      <c r="BQ43" s="73" t="b">
        <f t="shared" si="204"/>
        <v>0</v>
      </c>
      <c r="BR43" s="73" t="b">
        <f t="shared" si="204"/>
        <v>0</v>
      </c>
      <c r="BS43" s="73" t="b">
        <f t="shared" si="204"/>
        <v>0</v>
      </c>
      <c r="BT43" s="73" t="b">
        <f t="shared" si="204"/>
        <v>0</v>
      </c>
      <c r="BU43" s="73" t="b">
        <f t="shared" si="204"/>
        <v>0</v>
      </c>
      <c r="BV43" s="73" t="b">
        <f t="shared" si="204"/>
        <v>1</v>
      </c>
      <c r="BW43" s="73" t="b">
        <f t="shared" si="204"/>
        <v>0</v>
      </c>
      <c r="BX43" s="73" t="b">
        <f t="shared" si="204"/>
        <v>0</v>
      </c>
      <c r="BY43" s="73" t="b">
        <f t="shared" si="204"/>
        <v>0</v>
      </c>
      <c r="BZ43" s="73" t="b">
        <f t="shared" si="204"/>
        <v>0</v>
      </c>
      <c r="CA43" s="73" t="b">
        <f t="shared" si="204"/>
        <v>0</v>
      </c>
      <c r="CB43" s="73" t="b">
        <f t="shared" si="204"/>
        <v>0</v>
      </c>
      <c r="CC43" s="73" t="b">
        <f t="shared" si="204"/>
        <v>0</v>
      </c>
      <c r="CD43" s="73" t="b">
        <f t="shared" si="204"/>
        <v>0</v>
      </c>
      <c r="CE43" s="73" t="b">
        <f t="shared" si="204"/>
        <v>0</v>
      </c>
      <c r="CF43" s="73" t="b">
        <f t="shared" si="204"/>
        <v>0</v>
      </c>
      <c r="CG43" s="73" t="b">
        <f t="shared" si="204"/>
        <v>0</v>
      </c>
      <c r="CH43" s="73" t="b">
        <f t="shared" si="204"/>
        <v>1</v>
      </c>
      <c r="CI43" s="73" t="b">
        <f t="shared" si="204"/>
        <v>0</v>
      </c>
      <c r="CJ43" s="73" t="b">
        <f t="shared" si="204"/>
        <v>0</v>
      </c>
      <c r="CK43" s="73" t="b">
        <f t="shared" si="204"/>
        <v>0</v>
      </c>
      <c r="CL43" s="73" t="b">
        <f t="shared" si="204"/>
        <v>0</v>
      </c>
      <c r="CM43" s="73" t="b">
        <f t="shared" si="204"/>
        <v>0</v>
      </c>
      <c r="CN43" s="73" t="b">
        <f t="shared" si="204"/>
        <v>0</v>
      </c>
      <c r="CO43" s="73" t="b">
        <f t="shared" si="204"/>
        <v>0</v>
      </c>
      <c r="CP43" s="73" t="b">
        <f t="shared" si="204"/>
        <v>0</v>
      </c>
      <c r="CQ43" s="73" t="b">
        <f t="shared" si="204"/>
        <v>0</v>
      </c>
      <c r="CR43" s="73" t="b">
        <f t="shared" si="204"/>
        <v>0</v>
      </c>
      <c r="CS43" s="73" t="b">
        <f t="shared" si="204"/>
        <v>0</v>
      </c>
      <c r="CT43" s="73" t="b">
        <f t="shared" si="204"/>
        <v>1</v>
      </c>
      <c r="CU43" s="73" t="b">
        <f t="shared" si="204"/>
        <v>0</v>
      </c>
      <c r="CV43" s="73" t="b">
        <f t="shared" si="204"/>
        <v>0</v>
      </c>
      <c r="CW43" s="73" t="b">
        <f t="shared" si="204"/>
        <v>0</v>
      </c>
      <c r="CX43" s="73" t="b">
        <f t="shared" si="204"/>
        <v>0</v>
      </c>
      <c r="CY43" s="73" t="b">
        <f t="shared" si="204"/>
        <v>0</v>
      </c>
      <c r="CZ43" s="73" t="b">
        <f t="shared" si="204"/>
        <v>0</v>
      </c>
      <c r="DA43" s="73" t="b">
        <f t="shared" si="204"/>
        <v>0</v>
      </c>
      <c r="DB43" s="73" t="b">
        <f t="shared" si="204"/>
        <v>0</v>
      </c>
      <c r="DC43" s="73" t="b">
        <f t="shared" si="204"/>
        <v>0</v>
      </c>
      <c r="DD43" s="73" t="b">
        <f t="shared" si="204"/>
        <v>0</v>
      </c>
      <c r="DE43" s="73" t="b">
        <f t="shared" si="204"/>
        <v>0</v>
      </c>
      <c r="DF43" s="73" t="b">
        <f t="shared" si="204"/>
        <v>1</v>
      </c>
      <c r="DG43" s="73" t="b">
        <f t="shared" si="204"/>
        <v>0</v>
      </c>
      <c r="DH43" s="73" t="b">
        <f t="shared" si="204"/>
        <v>0</v>
      </c>
      <c r="DI43" s="73" t="b">
        <f t="shared" si="204"/>
        <v>0</v>
      </c>
      <c r="DJ43" s="73" t="b">
        <f t="shared" si="204"/>
        <v>0</v>
      </c>
      <c r="DK43" s="73" t="b">
        <f t="shared" si="204"/>
        <v>0</v>
      </c>
      <c r="DL43" s="73" t="b">
        <f t="shared" si="204"/>
        <v>0</v>
      </c>
      <c r="DM43" s="73" t="b">
        <f t="shared" si="204"/>
        <v>0</v>
      </c>
      <c r="DN43" s="73" t="b">
        <f t="shared" si="204"/>
        <v>0</v>
      </c>
      <c r="DO43" s="73" t="b">
        <f t="shared" si="204"/>
        <v>0</v>
      </c>
      <c r="DP43" s="73" t="b">
        <f t="shared" si="204"/>
        <v>0</v>
      </c>
      <c r="DQ43" s="73" t="b">
        <f t="shared" si="204"/>
        <v>0</v>
      </c>
      <c r="DR43" s="73" t="b">
        <f t="shared" si="204"/>
        <v>1</v>
      </c>
      <c r="DS43" s="73" t="b">
        <f t="shared" si="204"/>
        <v>0</v>
      </c>
      <c r="DT43" s="73" t="b">
        <f t="shared" si="204"/>
        <v>0</v>
      </c>
      <c r="DU43" s="73" t="b">
        <f t="shared" si="204"/>
        <v>0</v>
      </c>
      <c r="DV43" s="73" t="b">
        <f t="shared" si="204"/>
        <v>0</v>
      </c>
      <c r="DW43" s="73" t="b">
        <f t="shared" si="204"/>
        <v>0</v>
      </c>
      <c r="DX43" s="73" t="b">
        <f t="shared" si="204"/>
        <v>0</v>
      </c>
      <c r="DY43" s="73" t="b">
        <f t="shared" si="204"/>
        <v>0</v>
      </c>
      <c r="DZ43" s="73" t="b">
        <f t="shared" si="204"/>
        <v>0</v>
      </c>
      <c r="EA43" s="73" t="b">
        <f t="shared" ref="EA43:FZ44" si="208">IF(OR($B8="",$B8=0),"",INT(EA$38/$J8)=EA$38/$J8)</f>
        <v>0</v>
      </c>
      <c r="EB43" s="73" t="b">
        <f t="shared" si="208"/>
        <v>0</v>
      </c>
      <c r="EC43" s="73" t="b">
        <f t="shared" si="208"/>
        <v>0</v>
      </c>
      <c r="ED43" s="73" t="b">
        <f t="shared" si="208"/>
        <v>1</v>
      </c>
      <c r="EE43" s="73" t="b">
        <f t="shared" si="208"/>
        <v>0</v>
      </c>
      <c r="EF43" s="73" t="b">
        <f t="shared" si="208"/>
        <v>0</v>
      </c>
      <c r="EG43" s="73" t="b">
        <f t="shared" si="208"/>
        <v>0</v>
      </c>
      <c r="EH43" s="73" t="b">
        <f t="shared" si="208"/>
        <v>0</v>
      </c>
      <c r="EI43" s="73" t="b">
        <f t="shared" si="208"/>
        <v>0</v>
      </c>
      <c r="EJ43" s="73" t="b">
        <f t="shared" si="208"/>
        <v>0</v>
      </c>
      <c r="EK43" s="73" t="b">
        <f t="shared" si="208"/>
        <v>0</v>
      </c>
      <c r="EL43" s="73" t="b">
        <f t="shared" si="208"/>
        <v>0</v>
      </c>
      <c r="EM43" s="73" t="b">
        <f t="shared" si="208"/>
        <v>0</v>
      </c>
      <c r="EN43" s="73" t="b">
        <f t="shared" si="208"/>
        <v>0</v>
      </c>
      <c r="EO43" s="73" t="b">
        <f t="shared" si="208"/>
        <v>0</v>
      </c>
      <c r="EP43" s="73" t="b">
        <f t="shared" si="208"/>
        <v>1</v>
      </c>
      <c r="EQ43" s="73" t="b">
        <f t="shared" si="208"/>
        <v>0</v>
      </c>
      <c r="ER43" s="73" t="b">
        <f t="shared" si="208"/>
        <v>0</v>
      </c>
      <c r="ES43" s="73" t="b">
        <f t="shared" si="208"/>
        <v>0</v>
      </c>
      <c r="ET43" s="73" t="b">
        <f t="shared" si="208"/>
        <v>0</v>
      </c>
      <c r="EU43" s="73" t="b">
        <f t="shared" si="208"/>
        <v>0</v>
      </c>
      <c r="EV43" s="73" t="b">
        <f t="shared" si="208"/>
        <v>0</v>
      </c>
      <c r="EW43" s="73" t="b">
        <f t="shared" si="208"/>
        <v>0</v>
      </c>
      <c r="EX43" s="73" t="b">
        <f t="shared" si="208"/>
        <v>0</v>
      </c>
      <c r="EY43" s="73" t="b">
        <f t="shared" si="208"/>
        <v>0</v>
      </c>
      <c r="EZ43" s="73" t="b">
        <f t="shared" si="208"/>
        <v>0</v>
      </c>
      <c r="FA43" s="73" t="b">
        <f t="shared" si="208"/>
        <v>0</v>
      </c>
      <c r="FB43" s="73" t="b">
        <f t="shared" si="208"/>
        <v>1</v>
      </c>
      <c r="FC43" s="73" t="b">
        <f t="shared" si="208"/>
        <v>0</v>
      </c>
      <c r="FD43" s="73" t="b">
        <f t="shared" si="208"/>
        <v>0</v>
      </c>
      <c r="FE43" s="73" t="b">
        <f t="shared" si="208"/>
        <v>0</v>
      </c>
      <c r="FF43" s="73" t="b">
        <f t="shared" si="208"/>
        <v>0</v>
      </c>
      <c r="FG43" s="73" t="b">
        <f t="shared" si="208"/>
        <v>0</v>
      </c>
      <c r="FH43" s="73" t="b">
        <f t="shared" si="208"/>
        <v>0</v>
      </c>
      <c r="FI43" s="73" t="b">
        <f t="shared" si="208"/>
        <v>0</v>
      </c>
      <c r="FJ43" s="73" t="b">
        <f t="shared" si="208"/>
        <v>0</v>
      </c>
      <c r="FK43" s="73" t="b">
        <f t="shared" si="208"/>
        <v>0</v>
      </c>
      <c r="FL43" s="73" t="b">
        <f t="shared" si="208"/>
        <v>0</v>
      </c>
      <c r="FM43" s="73" t="b">
        <f t="shared" si="208"/>
        <v>0</v>
      </c>
      <c r="FN43" s="73" t="b">
        <f t="shared" si="208"/>
        <v>1</v>
      </c>
      <c r="FO43" s="73" t="b">
        <f t="shared" si="208"/>
        <v>0</v>
      </c>
      <c r="FP43" s="73" t="b">
        <f t="shared" si="208"/>
        <v>0</v>
      </c>
      <c r="FQ43" s="73" t="b">
        <f t="shared" si="208"/>
        <v>0</v>
      </c>
      <c r="FR43" s="73" t="b">
        <f t="shared" si="208"/>
        <v>0</v>
      </c>
      <c r="FS43" s="73" t="b">
        <f t="shared" si="208"/>
        <v>0</v>
      </c>
      <c r="FT43" s="73" t="b">
        <f t="shared" si="208"/>
        <v>0</v>
      </c>
      <c r="FU43" s="73" t="b">
        <f t="shared" si="208"/>
        <v>0</v>
      </c>
      <c r="FV43" s="73" t="b">
        <f t="shared" si="208"/>
        <v>0</v>
      </c>
      <c r="FW43" s="73" t="b">
        <f t="shared" si="208"/>
        <v>0</v>
      </c>
      <c r="FX43" s="73" t="b">
        <f t="shared" si="208"/>
        <v>0</v>
      </c>
      <c r="FY43" s="73" t="b">
        <f t="shared" si="208"/>
        <v>0</v>
      </c>
      <c r="FZ43" s="86" t="b">
        <f t="shared" si="208"/>
        <v>1</v>
      </c>
    </row>
    <row r="44" spans="2:182" x14ac:dyDescent="0.2">
      <c r="B44" s="85"/>
      <c r="C44" s="73" t="b">
        <f t="shared" si="206"/>
        <v>0</v>
      </c>
      <c r="D44" s="73" t="b">
        <f t="shared" si="207"/>
        <v>0</v>
      </c>
      <c r="E44" s="73" t="b">
        <f t="shared" si="207"/>
        <v>0</v>
      </c>
      <c r="F44" s="73" t="b">
        <f t="shared" si="207"/>
        <v>0</v>
      </c>
      <c r="G44" s="73" t="b">
        <f t="shared" si="207"/>
        <v>0</v>
      </c>
      <c r="H44" s="73" t="b">
        <f t="shared" si="207"/>
        <v>0</v>
      </c>
      <c r="I44" s="73" t="b">
        <f t="shared" si="207"/>
        <v>0</v>
      </c>
      <c r="J44" s="73" t="b">
        <f t="shared" si="207"/>
        <v>0</v>
      </c>
      <c r="K44" s="73" t="b">
        <f t="shared" si="207"/>
        <v>0</v>
      </c>
      <c r="L44" s="73" t="b">
        <f t="shared" si="207"/>
        <v>0</v>
      </c>
      <c r="M44" s="73" t="b">
        <f t="shared" si="207"/>
        <v>0</v>
      </c>
      <c r="N44" s="73" t="b">
        <f t="shared" si="207"/>
        <v>1</v>
      </c>
      <c r="O44" s="73" t="b">
        <f t="shared" si="207"/>
        <v>0</v>
      </c>
      <c r="P44" s="73" t="b">
        <f t="shared" si="207"/>
        <v>0</v>
      </c>
      <c r="Q44" s="73" t="b">
        <f t="shared" si="207"/>
        <v>0</v>
      </c>
      <c r="R44" s="73" t="b">
        <f t="shared" si="207"/>
        <v>0</v>
      </c>
      <c r="S44" s="73" t="b">
        <f t="shared" si="207"/>
        <v>0</v>
      </c>
      <c r="T44" s="73" t="b">
        <f t="shared" si="207"/>
        <v>0</v>
      </c>
      <c r="U44" s="73" t="b">
        <f t="shared" si="207"/>
        <v>0</v>
      </c>
      <c r="V44" s="73" t="b">
        <f t="shared" si="207"/>
        <v>0</v>
      </c>
      <c r="W44" s="73" t="b">
        <f t="shared" si="207"/>
        <v>0</v>
      </c>
      <c r="X44" s="73" t="b">
        <f t="shared" si="207"/>
        <v>0</v>
      </c>
      <c r="Y44" s="73" t="b">
        <f t="shared" si="207"/>
        <v>0</v>
      </c>
      <c r="Z44" s="73" t="b">
        <f t="shared" si="207"/>
        <v>1</v>
      </c>
      <c r="AA44" s="73" t="b">
        <f t="shared" si="207"/>
        <v>0</v>
      </c>
      <c r="AB44" s="73" t="b">
        <f t="shared" si="207"/>
        <v>0</v>
      </c>
      <c r="AC44" s="73" t="b">
        <f t="shared" si="207"/>
        <v>0</v>
      </c>
      <c r="AD44" s="73" t="b">
        <f t="shared" si="207"/>
        <v>0</v>
      </c>
      <c r="AE44" s="73" t="b">
        <f t="shared" si="207"/>
        <v>0</v>
      </c>
      <c r="AF44" s="73" t="b">
        <f t="shared" si="207"/>
        <v>0</v>
      </c>
      <c r="AG44" s="73" t="b">
        <f t="shared" si="207"/>
        <v>0</v>
      </c>
      <c r="AH44" s="73" t="b">
        <f t="shared" si="207"/>
        <v>0</v>
      </c>
      <c r="AI44" s="73" t="b">
        <f t="shared" si="207"/>
        <v>0</v>
      </c>
      <c r="AJ44" s="73" t="b">
        <f t="shared" si="207"/>
        <v>0</v>
      </c>
      <c r="AK44" s="73" t="b">
        <f t="shared" si="207"/>
        <v>0</v>
      </c>
      <c r="AL44" s="73" t="b">
        <f t="shared" si="207"/>
        <v>1</v>
      </c>
      <c r="AM44" s="73" t="b">
        <f t="shared" si="207"/>
        <v>0</v>
      </c>
      <c r="AN44" s="73" t="b">
        <f t="shared" si="207"/>
        <v>0</v>
      </c>
      <c r="AO44" s="73" t="b">
        <f t="shared" si="207"/>
        <v>0</v>
      </c>
      <c r="AP44" s="73" t="b">
        <f t="shared" si="207"/>
        <v>0</v>
      </c>
      <c r="AQ44" s="73" t="b">
        <f t="shared" si="207"/>
        <v>0</v>
      </c>
      <c r="AR44" s="73" t="b">
        <f t="shared" si="207"/>
        <v>0</v>
      </c>
      <c r="AS44" s="73" t="b">
        <f t="shared" si="207"/>
        <v>0</v>
      </c>
      <c r="AT44" s="73" t="b">
        <f t="shared" si="207"/>
        <v>0</v>
      </c>
      <c r="AU44" s="73" t="b">
        <f t="shared" si="207"/>
        <v>0</v>
      </c>
      <c r="AV44" s="73" t="b">
        <f t="shared" si="207"/>
        <v>0</v>
      </c>
      <c r="AW44" s="73" t="b">
        <f t="shared" si="207"/>
        <v>0</v>
      </c>
      <c r="AX44" s="73" t="b">
        <f t="shared" si="207"/>
        <v>1</v>
      </c>
      <c r="AY44" s="73" t="b">
        <f t="shared" si="207"/>
        <v>0</v>
      </c>
      <c r="AZ44" s="73" t="b">
        <f t="shared" si="207"/>
        <v>0</v>
      </c>
      <c r="BA44" s="73" t="b">
        <f t="shared" si="207"/>
        <v>0</v>
      </c>
      <c r="BB44" s="73" t="b">
        <f t="shared" si="207"/>
        <v>0</v>
      </c>
      <c r="BC44" s="73" t="b">
        <f t="shared" si="207"/>
        <v>0</v>
      </c>
      <c r="BD44" s="73" t="b">
        <f t="shared" si="207"/>
        <v>0</v>
      </c>
      <c r="BE44" s="73" t="b">
        <f t="shared" si="207"/>
        <v>0</v>
      </c>
      <c r="BF44" s="73" t="b">
        <f t="shared" si="207"/>
        <v>0</v>
      </c>
      <c r="BG44" s="73" t="b">
        <f t="shared" si="207"/>
        <v>0</v>
      </c>
      <c r="BH44" s="73" t="b">
        <f t="shared" si="207"/>
        <v>0</v>
      </c>
      <c r="BI44" s="73" t="b">
        <f t="shared" si="207"/>
        <v>0</v>
      </c>
      <c r="BJ44" s="73" t="b">
        <f t="shared" si="207"/>
        <v>1</v>
      </c>
      <c r="BK44" s="73" t="b">
        <f t="shared" si="207"/>
        <v>0</v>
      </c>
      <c r="BL44" s="73" t="b">
        <f t="shared" si="207"/>
        <v>0</v>
      </c>
      <c r="BM44" s="73" t="b">
        <f t="shared" si="207"/>
        <v>0</v>
      </c>
      <c r="BN44" s="73" t="b">
        <f t="shared" si="207"/>
        <v>0</v>
      </c>
      <c r="BO44" s="73" t="b">
        <f t="shared" si="207"/>
        <v>0</v>
      </c>
      <c r="BP44" s="73" t="b">
        <f t="shared" ref="BP44:EA44" si="209">IF(OR($B9="",$B9=0),"",INT(BP$38/$J9)=BP$38/$J9)</f>
        <v>0</v>
      </c>
      <c r="BQ44" s="73" t="b">
        <f t="shared" si="209"/>
        <v>0</v>
      </c>
      <c r="BR44" s="73" t="b">
        <f t="shared" si="209"/>
        <v>0</v>
      </c>
      <c r="BS44" s="73" t="b">
        <f t="shared" si="209"/>
        <v>0</v>
      </c>
      <c r="BT44" s="73" t="b">
        <f t="shared" si="209"/>
        <v>0</v>
      </c>
      <c r="BU44" s="73" t="b">
        <f t="shared" si="209"/>
        <v>0</v>
      </c>
      <c r="BV44" s="73" t="b">
        <f t="shared" si="209"/>
        <v>1</v>
      </c>
      <c r="BW44" s="73" t="b">
        <f t="shared" si="209"/>
        <v>0</v>
      </c>
      <c r="BX44" s="73" t="b">
        <f t="shared" si="209"/>
        <v>0</v>
      </c>
      <c r="BY44" s="73" t="b">
        <f t="shared" si="209"/>
        <v>0</v>
      </c>
      <c r="BZ44" s="73" t="b">
        <f t="shared" si="209"/>
        <v>0</v>
      </c>
      <c r="CA44" s="73" t="b">
        <f t="shared" si="209"/>
        <v>0</v>
      </c>
      <c r="CB44" s="73" t="b">
        <f t="shared" si="209"/>
        <v>0</v>
      </c>
      <c r="CC44" s="73" t="b">
        <f t="shared" si="209"/>
        <v>0</v>
      </c>
      <c r="CD44" s="73" t="b">
        <f t="shared" si="209"/>
        <v>0</v>
      </c>
      <c r="CE44" s="73" t="b">
        <f t="shared" si="209"/>
        <v>0</v>
      </c>
      <c r="CF44" s="73" t="b">
        <f t="shared" si="209"/>
        <v>0</v>
      </c>
      <c r="CG44" s="73" t="b">
        <f t="shared" si="209"/>
        <v>0</v>
      </c>
      <c r="CH44" s="73" t="b">
        <f t="shared" si="209"/>
        <v>1</v>
      </c>
      <c r="CI44" s="73" t="b">
        <f t="shared" si="209"/>
        <v>0</v>
      </c>
      <c r="CJ44" s="73" t="b">
        <f t="shared" si="209"/>
        <v>0</v>
      </c>
      <c r="CK44" s="73" t="b">
        <f t="shared" si="209"/>
        <v>0</v>
      </c>
      <c r="CL44" s="73" t="b">
        <f t="shared" si="209"/>
        <v>0</v>
      </c>
      <c r="CM44" s="73" t="b">
        <f t="shared" si="209"/>
        <v>0</v>
      </c>
      <c r="CN44" s="73" t="b">
        <f t="shared" si="209"/>
        <v>0</v>
      </c>
      <c r="CO44" s="73" t="b">
        <f t="shared" si="209"/>
        <v>0</v>
      </c>
      <c r="CP44" s="73" t="b">
        <f t="shared" si="209"/>
        <v>0</v>
      </c>
      <c r="CQ44" s="73" t="b">
        <f t="shared" si="209"/>
        <v>0</v>
      </c>
      <c r="CR44" s="73" t="b">
        <f t="shared" si="209"/>
        <v>0</v>
      </c>
      <c r="CS44" s="73" t="b">
        <f t="shared" si="209"/>
        <v>0</v>
      </c>
      <c r="CT44" s="73" t="b">
        <f t="shared" si="209"/>
        <v>1</v>
      </c>
      <c r="CU44" s="73" t="b">
        <f t="shared" si="209"/>
        <v>0</v>
      </c>
      <c r="CV44" s="73" t="b">
        <f t="shared" si="209"/>
        <v>0</v>
      </c>
      <c r="CW44" s="73" t="b">
        <f t="shared" si="209"/>
        <v>0</v>
      </c>
      <c r="CX44" s="73" t="b">
        <f t="shared" si="209"/>
        <v>0</v>
      </c>
      <c r="CY44" s="73" t="b">
        <f t="shared" si="209"/>
        <v>0</v>
      </c>
      <c r="CZ44" s="73" t="b">
        <f t="shared" si="209"/>
        <v>0</v>
      </c>
      <c r="DA44" s="73" t="b">
        <f t="shared" si="209"/>
        <v>0</v>
      </c>
      <c r="DB44" s="73" t="b">
        <f t="shared" si="209"/>
        <v>0</v>
      </c>
      <c r="DC44" s="73" t="b">
        <f t="shared" si="209"/>
        <v>0</v>
      </c>
      <c r="DD44" s="73" t="b">
        <f t="shared" si="209"/>
        <v>0</v>
      </c>
      <c r="DE44" s="73" t="b">
        <f t="shared" si="209"/>
        <v>0</v>
      </c>
      <c r="DF44" s="73" t="b">
        <f t="shared" si="209"/>
        <v>1</v>
      </c>
      <c r="DG44" s="73" t="b">
        <f t="shared" si="209"/>
        <v>0</v>
      </c>
      <c r="DH44" s="73" t="b">
        <f t="shared" si="209"/>
        <v>0</v>
      </c>
      <c r="DI44" s="73" t="b">
        <f t="shared" si="209"/>
        <v>0</v>
      </c>
      <c r="DJ44" s="73" t="b">
        <f t="shared" si="209"/>
        <v>0</v>
      </c>
      <c r="DK44" s="73" t="b">
        <f t="shared" si="209"/>
        <v>0</v>
      </c>
      <c r="DL44" s="73" t="b">
        <f t="shared" si="209"/>
        <v>0</v>
      </c>
      <c r="DM44" s="73" t="b">
        <f t="shared" si="209"/>
        <v>0</v>
      </c>
      <c r="DN44" s="73" t="b">
        <f t="shared" si="209"/>
        <v>0</v>
      </c>
      <c r="DO44" s="73" t="b">
        <f t="shared" si="209"/>
        <v>0</v>
      </c>
      <c r="DP44" s="73" t="b">
        <f t="shared" si="209"/>
        <v>0</v>
      </c>
      <c r="DQ44" s="73" t="b">
        <f t="shared" si="209"/>
        <v>0</v>
      </c>
      <c r="DR44" s="73" t="b">
        <f t="shared" si="209"/>
        <v>1</v>
      </c>
      <c r="DS44" s="73" t="b">
        <f t="shared" si="209"/>
        <v>0</v>
      </c>
      <c r="DT44" s="73" t="b">
        <f t="shared" si="209"/>
        <v>0</v>
      </c>
      <c r="DU44" s="73" t="b">
        <f t="shared" si="209"/>
        <v>0</v>
      </c>
      <c r="DV44" s="73" t="b">
        <f t="shared" si="209"/>
        <v>0</v>
      </c>
      <c r="DW44" s="73" t="b">
        <f t="shared" si="209"/>
        <v>0</v>
      </c>
      <c r="DX44" s="73" t="b">
        <f t="shared" si="209"/>
        <v>0</v>
      </c>
      <c r="DY44" s="73" t="b">
        <f t="shared" si="209"/>
        <v>0</v>
      </c>
      <c r="DZ44" s="73" t="b">
        <f t="shared" si="209"/>
        <v>0</v>
      </c>
      <c r="EA44" s="73" t="b">
        <f t="shared" si="209"/>
        <v>0</v>
      </c>
      <c r="EB44" s="73" t="b">
        <f t="shared" si="208"/>
        <v>0</v>
      </c>
      <c r="EC44" s="73" t="b">
        <f t="shared" si="208"/>
        <v>0</v>
      </c>
      <c r="ED44" s="73" t="b">
        <f t="shared" si="208"/>
        <v>1</v>
      </c>
      <c r="EE44" s="73" t="b">
        <f t="shared" si="208"/>
        <v>0</v>
      </c>
      <c r="EF44" s="73" t="b">
        <f t="shared" si="208"/>
        <v>0</v>
      </c>
      <c r="EG44" s="73" t="b">
        <f t="shared" si="208"/>
        <v>0</v>
      </c>
      <c r="EH44" s="73" t="b">
        <f t="shared" si="208"/>
        <v>0</v>
      </c>
      <c r="EI44" s="73" t="b">
        <f t="shared" si="208"/>
        <v>0</v>
      </c>
      <c r="EJ44" s="73" t="b">
        <f t="shared" si="208"/>
        <v>0</v>
      </c>
      <c r="EK44" s="73" t="b">
        <f t="shared" si="208"/>
        <v>0</v>
      </c>
      <c r="EL44" s="73" t="b">
        <f t="shared" si="208"/>
        <v>0</v>
      </c>
      <c r="EM44" s="73" t="b">
        <f t="shared" si="208"/>
        <v>0</v>
      </c>
      <c r="EN44" s="73" t="b">
        <f t="shared" si="208"/>
        <v>0</v>
      </c>
      <c r="EO44" s="73" t="b">
        <f t="shared" si="208"/>
        <v>0</v>
      </c>
      <c r="EP44" s="73" t="b">
        <f t="shared" si="208"/>
        <v>1</v>
      </c>
      <c r="EQ44" s="73" t="b">
        <f t="shared" si="208"/>
        <v>0</v>
      </c>
      <c r="ER44" s="73" t="b">
        <f t="shared" si="208"/>
        <v>0</v>
      </c>
      <c r="ES44" s="73" t="b">
        <f t="shared" si="208"/>
        <v>0</v>
      </c>
      <c r="ET44" s="73" t="b">
        <f t="shared" si="208"/>
        <v>0</v>
      </c>
      <c r="EU44" s="73" t="b">
        <f t="shared" si="208"/>
        <v>0</v>
      </c>
      <c r="EV44" s="73" t="b">
        <f t="shared" si="208"/>
        <v>0</v>
      </c>
      <c r="EW44" s="73" t="b">
        <f t="shared" si="208"/>
        <v>0</v>
      </c>
      <c r="EX44" s="73" t="b">
        <f t="shared" si="208"/>
        <v>0</v>
      </c>
      <c r="EY44" s="73" t="b">
        <f t="shared" si="208"/>
        <v>0</v>
      </c>
      <c r="EZ44" s="73" t="b">
        <f t="shared" si="208"/>
        <v>0</v>
      </c>
      <c r="FA44" s="73" t="b">
        <f t="shared" si="208"/>
        <v>0</v>
      </c>
      <c r="FB44" s="73" t="b">
        <f t="shared" si="208"/>
        <v>1</v>
      </c>
      <c r="FC44" s="73" t="b">
        <f t="shared" si="208"/>
        <v>0</v>
      </c>
      <c r="FD44" s="73" t="b">
        <f t="shared" si="208"/>
        <v>0</v>
      </c>
      <c r="FE44" s="73" t="b">
        <f t="shared" si="208"/>
        <v>0</v>
      </c>
      <c r="FF44" s="73" t="b">
        <f t="shared" si="208"/>
        <v>0</v>
      </c>
      <c r="FG44" s="73" t="b">
        <f t="shared" si="208"/>
        <v>0</v>
      </c>
      <c r="FH44" s="73" t="b">
        <f t="shared" si="208"/>
        <v>0</v>
      </c>
      <c r="FI44" s="73" t="b">
        <f t="shared" si="208"/>
        <v>0</v>
      </c>
      <c r="FJ44" s="73" t="b">
        <f t="shared" si="208"/>
        <v>0</v>
      </c>
      <c r="FK44" s="73" t="b">
        <f t="shared" si="208"/>
        <v>0</v>
      </c>
      <c r="FL44" s="73" t="b">
        <f t="shared" si="208"/>
        <v>0</v>
      </c>
      <c r="FM44" s="73" t="b">
        <f t="shared" si="208"/>
        <v>0</v>
      </c>
      <c r="FN44" s="73" t="b">
        <f t="shared" si="208"/>
        <v>1</v>
      </c>
      <c r="FO44" s="73" t="b">
        <f t="shared" si="208"/>
        <v>0</v>
      </c>
      <c r="FP44" s="73" t="b">
        <f t="shared" si="208"/>
        <v>0</v>
      </c>
      <c r="FQ44" s="73" t="b">
        <f t="shared" si="208"/>
        <v>0</v>
      </c>
      <c r="FR44" s="73" t="b">
        <f t="shared" si="208"/>
        <v>0</v>
      </c>
      <c r="FS44" s="73" t="b">
        <f t="shared" si="208"/>
        <v>0</v>
      </c>
      <c r="FT44" s="73" t="b">
        <f t="shared" si="208"/>
        <v>0</v>
      </c>
      <c r="FU44" s="73" t="b">
        <f t="shared" si="208"/>
        <v>0</v>
      </c>
      <c r="FV44" s="73" t="b">
        <f t="shared" si="208"/>
        <v>0</v>
      </c>
      <c r="FW44" s="73" t="b">
        <f t="shared" si="208"/>
        <v>0</v>
      </c>
      <c r="FX44" s="73" t="b">
        <f t="shared" si="208"/>
        <v>0</v>
      </c>
      <c r="FY44" s="73" t="b">
        <f t="shared" si="208"/>
        <v>0</v>
      </c>
      <c r="FZ44" s="86" t="b">
        <f t="shared" si="208"/>
        <v>1</v>
      </c>
    </row>
    <row r="45" spans="2:182" x14ac:dyDescent="0.2">
      <c r="B45" s="85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81"/>
      <c r="BV45" s="81"/>
      <c r="BW45" s="81"/>
      <c r="BX45" s="81"/>
      <c r="BY45" s="81"/>
      <c r="BZ45" s="81"/>
      <c r="CA45" s="81"/>
      <c r="CB45" s="81"/>
      <c r="CC45" s="81"/>
      <c r="CD45" s="81"/>
      <c r="CE45" s="81"/>
      <c r="CF45" s="81"/>
      <c r="CG45" s="81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1"/>
      <c r="CZ45" s="81"/>
      <c r="DA45" s="81"/>
      <c r="DB45" s="81"/>
      <c r="DC45" s="81"/>
      <c r="DD45" s="81"/>
      <c r="DE45" s="81"/>
      <c r="DF45" s="81"/>
      <c r="DG45" s="81"/>
      <c r="DH45" s="81"/>
      <c r="DI45" s="81"/>
      <c r="DJ45" s="81"/>
      <c r="DK45" s="81"/>
      <c r="DL45" s="81"/>
      <c r="DM45" s="81"/>
      <c r="DN45" s="81"/>
      <c r="DO45" s="81"/>
      <c r="DP45" s="81"/>
      <c r="DQ45" s="81"/>
      <c r="DR45" s="81"/>
      <c r="DS45" s="81"/>
      <c r="DT45" s="81"/>
      <c r="DU45" s="81"/>
      <c r="DV45" s="81"/>
      <c r="DW45" s="81"/>
      <c r="DX45" s="81"/>
      <c r="DY45" s="81"/>
      <c r="DZ45" s="81"/>
      <c r="EA45" s="81"/>
      <c r="EB45" s="81"/>
      <c r="EC45" s="81"/>
      <c r="ED45" s="81"/>
      <c r="EE45" s="81"/>
      <c r="EF45" s="81"/>
      <c r="EG45" s="81"/>
      <c r="EH45" s="81"/>
      <c r="EI45" s="81"/>
      <c r="EJ45" s="81"/>
      <c r="EK45" s="81"/>
      <c r="EL45" s="81"/>
      <c r="EM45" s="81"/>
      <c r="EN45" s="81"/>
      <c r="EO45" s="81"/>
      <c r="EP45" s="81"/>
      <c r="EQ45" s="81"/>
      <c r="ER45" s="81"/>
      <c r="ES45" s="81"/>
      <c r="ET45" s="81"/>
      <c r="EU45" s="81"/>
      <c r="EV45" s="81"/>
      <c r="EW45" s="81"/>
      <c r="EX45" s="81"/>
      <c r="EY45" s="81"/>
      <c r="EZ45" s="81"/>
      <c r="FA45" s="81"/>
      <c r="FB45" s="81"/>
      <c r="FC45" s="81"/>
      <c r="FD45" s="81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81"/>
      <c r="FT45" s="81"/>
      <c r="FU45" s="81"/>
      <c r="FV45" s="81"/>
      <c r="FW45" s="81"/>
      <c r="FX45" s="81"/>
      <c r="FY45" s="81"/>
      <c r="FZ45" s="82"/>
    </row>
    <row r="46" spans="2:182" x14ac:dyDescent="0.2">
      <c r="B46" s="87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8"/>
      <c r="BI46" s="88"/>
      <c r="BJ46" s="88"/>
      <c r="BK46" s="88"/>
      <c r="BL46" s="88"/>
      <c r="BM46" s="88"/>
      <c r="BN46" s="88"/>
      <c r="BO46" s="88"/>
      <c r="BP46" s="88"/>
      <c r="BQ46" s="88"/>
      <c r="BR46" s="88"/>
      <c r="BS46" s="88"/>
      <c r="BT46" s="88"/>
      <c r="BU46" s="88"/>
      <c r="BV46" s="88"/>
      <c r="BW46" s="88"/>
      <c r="BX46" s="88"/>
      <c r="BY46" s="88"/>
      <c r="BZ46" s="88"/>
      <c r="CA46" s="88"/>
      <c r="CB46" s="88"/>
      <c r="CC46" s="88"/>
      <c r="CD46" s="88"/>
      <c r="CE46" s="88"/>
      <c r="CF46" s="88"/>
      <c r="CG46" s="88"/>
      <c r="CH46" s="88"/>
      <c r="CI46" s="88"/>
      <c r="CJ46" s="88"/>
      <c r="CK46" s="88"/>
      <c r="CL46" s="88"/>
      <c r="CM46" s="88"/>
      <c r="CN46" s="88"/>
      <c r="CO46" s="88"/>
      <c r="CP46" s="88"/>
      <c r="CQ46" s="88"/>
      <c r="CR46" s="88"/>
      <c r="CS46" s="88"/>
      <c r="CT46" s="88"/>
      <c r="CU46" s="88"/>
      <c r="CV46" s="88"/>
      <c r="CW46" s="88"/>
      <c r="CX46" s="88"/>
      <c r="CY46" s="88"/>
      <c r="CZ46" s="88"/>
      <c r="DA46" s="88"/>
      <c r="DB46" s="88"/>
      <c r="DC46" s="88"/>
      <c r="DD46" s="88"/>
      <c r="DE46" s="88"/>
      <c r="DF46" s="88"/>
      <c r="DG46" s="88"/>
      <c r="DH46" s="88"/>
      <c r="DI46" s="88"/>
      <c r="DJ46" s="88"/>
      <c r="DK46" s="88"/>
      <c r="DL46" s="88"/>
      <c r="DM46" s="88"/>
      <c r="DN46" s="88"/>
      <c r="DO46" s="88"/>
      <c r="DP46" s="88"/>
      <c r="DQ46" s="88"/>
      <c r="DR46" s="88"/>
      <c r="DS46" s="88"/>
      <c r="DT46" s="88"/>
      <c r="DU46" s="88"/>
      <c r="DV46" s="88"/>
      <c r="DW46" s="88"/>
      <c r="DX46" s="88"/>
      <c r="DY46" s="88"/>
      <c r="DZ46" s="88"/>
      <c r="EA46" s="88"/>
      <c r="EB46" s="88"/>
      <c r="EC46" s="88"/>
      <c r="ED46" s="88"/>
      <c r="EE46" s="88"/>
      <c r="EF46" s="88"/>
      <c r="EG46" s="88"/>
      <c r="EH46" s="88"/>
      <c r="EI46" s="88"/>
      <c r="EJ46" s="88"/>
      <c r="EK46" s="88"/>
      <c r="EL46" s="88"/>
      <c r="EM46" s="88"/>
      <c r="EN46" s="88"/>
      <c r="EO46" s="88"/>
      <c r="EP46" s="88"/>
      <c r="EQ46" s="88"/>
      <c r="ER46" s="88"/>
      <c r="ES46" s="88"/>
      <c r="ET46" s="88"/>
      <c r="EU46" s="88"/>
      <c r="EV46" s="88"/>
      <c r="EW46" s="88"/>
      <c r="EX46" s="88"/>
      <c r="EY46" s="88"/>
      <c r="EZ46" s="88"/>
      <c r="FA46" s="88"/>
      <c r="FB46" s="88"/>
      <c r="FC46" s="88"/>
      <c r="FD46" s="88"/>
      <c r="FE46" s="88"/>
      <c r="FF46" s="88"/>
      <c r="FG46" s="88"/>
      <c r="FH46" s="88"/>
      <c r="FI46" s="88"/>
      <c r="FJ46" s="88"/>
      <c r="FK46" s="88"/>
      <c r="FL46" s="88"/>
      <c r="FM46" s="88"/>
      <c r="FN46" s="88"/>
      <c r="FO46" s="88"/>
      <c r="FP46" s="88"/>
      <c r="FQ46" s="88"/>
      <c r="FR46" s="88"/>
      <c r="FS46" s="88"/>
      <c r="FT46" s="88"/>
      <c r="FU46" s="88"/>
      <c r="FV46" s="88"/>
      <c r="FW46" s="88"/>
      <c r="FX46" s="88"/>
      <c r="FY46" s="88"/>
      <c r="FZ46" s="89"/>
    </row>
    <row r="48" spans="2:182" x14ac:dyDescent="0.2">
      <c r="B48" s="74" t="s">
        <v>77</v>
      </c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6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  <c r="FR48" s="19"/>
      <c r="FS48" s="19"/>
      <c r="FT48" s="19"/>
      <c r="FU48" s="19"/>
      <c r="FV48" s="19"/>
      <c r="FW48" s="19"/>
      <c r="FX48" s="19"/>
      <c r="FY48" s="19"/>
      <c r="FZ48" s="19"/>
    </row>
    <row r="49" spans="2:182" x14ac:dyDescent="0.2">
      <c r="B49" s="77" t="s">
        <v>87</v>
      </c>
      <c r="C49" s="78">
        <f>ROUNDUP(C50/12,0)</f>
        <v>1</v>
      </c>
      <c r="D49" s="78">
        <f t="shared" ref="D49:BO49" si="210">ROUNDUP(D50/12,0)</f>
        <v>1</v>
      </c>
      <c r="E49" s="78">
        <f t="shared" si="210"/>
        <v>1</v>
      </c>
      <c r="F49" s="78">
        <f t="shared" si="210"/>
        <v>1</v>
      </c>
      <c r="G49" s="78">
        <f t="shared" si="210"/>
        <v>1</v>
      </c>
      <c r="H49" s="78">
        <f t="shared" si="210"/>
        <v>1</v>
      </c>
      <c r="I49" s="78">
        <f t="shared" si="210"/>
        <v>1</v>
      </c>
      <c r="J49" s="78">
        <f t="shared" si="210"/>
        <v>1</v>
      </c>
      <c r="K49" s="78">
        <f t="shared" si="210"/>
        <v>1</v>
      </c>
      <c r="L49" s="78">
        <f t="shared" si="210"/>
        <v>1</v>
      </c>
      <c r="M49" s="78">
        <f t="shared" si="210"/>
        <v>1</v>
      </c>
      <c r="N49" s="78">
        <f t="shared" si="210"/>
        <v>1</v>
      </c>
      <c r="O49" s="78">
        <f t="shared" si="210"/>
        <v>2</v>
      </c>
      <c r="P49" s="78">
        <f t="shared" si="210"/>
        <v>2</v>
      </c>
      <c r="Q49" s="78">
        <f t="shared" si="210"/>
        <v>2</v>
      </c>
      <c r="R49" s="78">
        <f t="shared" si="210"/>
        <v>2</v>
      </c>
      <c r="S49" s="78">
        <f t="shared" si="210"/>
        <v>2</v>
      </c>
      <c r="T49" s="78">
        <f t="shared" si="210"/>
        <v>2</v>
      </c>
      <c r="U49" s="78">
        <f t="shared" si="210"/>
        <v>2</v>
      </c>
      <c r="V49" s="78">
        <f t="shared" si="210"/>
        <v>2</v>
      </c>
      <c r="W49" s="78">
        <f t="shared" si="210"/>
        <v>2</v>
      </c>
      <c r="X49" s="78">
        <f t="shared" si="210"/>
        <v>2</v>
      </c>
      <c r="Y49" s="78">
        <f t="shared" si="210"/>
        <v>2</v>
      </c>
      <c r="Z49" s="78">
        <f t="shared" si="210"/>
        <v>2</v>
      </c>
      <c r="AA49" s="78">
        <f t="shared" si="210"/>
        <v>3</v>
      </c>
      <c r="AB49" s="78">
        <f t="shared" si="210"/>
        <v>3</v>
      </c>
      <c r="AC49" s="78">
        <f t="shared" si="210"/>
        <v>3</v>
      </c>
      <c r="AD49" s="78">
        <f t="shared" si="210"/>
        <v>3</v>
      </c>
      <c r="AE49" s="78">
        <f t="shared" si="210"/>
        <v>3</v>
      </c>
      <c r="AF49" s="78">
        <f t="shared" si="210"/>
        <v>3</v>
      </c>
      <c r="AG49" s="78">
        <f t="shared" si="210"/>
        <v>3</v>
      </c>
      <c r="AH49" s="78">
        <f t="shared" si="210"/>
        <v>3</v>
      </c>
      <c r="AI49" s="78">
        <f t="shared" si="210"/>
        <v>3</v>
      </c>
      <c r="AJ49" s="78">
        <f t="shared" si="210"/>
        <v>3</v>
      </c>
      <c r="AK49" s="78">
        <f t="shared" si="210"/>
        <v>3</v>
      </c>
      <c r="AL49" s="78">
        <f t="shared" si="210"/>
        <v>3</v>
      </c>
      <c r="AM49" s="78">
        <f t="shared" si="210"/>
        <v>4</v>
      </c>
      <c r="AN49" s="78">
        <f t="shared" si="210"/>
        <v>4</v>
      </c>
      <c r="AO49" s="78">
        <f t="shared" si="210"/>
        <v>4</v>
      </c>
      <c r="AP49" s="78">
        <f t="shared" si="210"/>
        <v>4</v>
      </c>
      <c r="AQ49" s="78">
        <f t="shared" si="210"/>
        <v>4</v>
      </c>
      <c r="AR49" s="78">
        <f t="shared" si="210"/>
        <v>4</v>
      </c>
      <c r="AS49" s="78">
        <f t="shared" si="210"/>
        <v>4</v>
      </c>
      <c r="AT49" s="78">
        <f t="shared" si="210"/>
        <v>4</v>
      </c>
      <c r="AU49" s="78">
        <f t="shared" si="210"/>
        <v>4</v>
      </c>
      <c r="AV49" s="78">
        <f t="shared" si="210"/>
        <v>4</v>
      </c>
      <c r="AW49" s="78">
        <f t="shared" si="210"/>
        <v>4</v>
      </c>
      <c r="AX49" s="78">
        <f t="shared" si="210"/>
        <v>4</v>
      </c>
      <c r="AY49" s="78">
        <f t="shared" si="210"/>
        <v>5</v>
      </c>
      <c r="AZ49" s="78">
        <f t="shared" si="210"/>
        <v>5</v>
      </c>
      <c r="BA49" s="78">
        <f t="shared" si="210"/>
        <v>5</v>
      </c>
      <c r="BB49" s="78">
        <f t="shared" si="210"/>
        <v>5</v>
      </c>
      <c r="BC49" s="78">
        <f t="shared" si="210"/>
        <v>5</v>
      </c>
      <c r="BD49" s="78">
        <f t="shared" si="210"/>
        <v>5</v>
      </c>
      <c r="BE49" s="78">
        <f t="shared" si="210"/>
        <v>5</v>
      </c>
      <c r="BF49" s="78">
        <f t="shared" si="210"/>
        <v>5</v>
      </c>
      <c r="BG49" s="78">
        <f t="shared" si="210"/>
        <v>5</v>
      </c>
      <c r="BH49" s="78">
        <f t="shared" si="210"/>
        <v>5</v>
      </c>
      <c r="BI49" s="78">
        <f t="shared" si="210"/>
        <v>5</v>
      </c>
      <c r="BJ49" s="78">
        <f t="shared" si="210"/>
        <v>5</v>
      </c>
      <c r="BK49" s="78">
        <f t="shared" si="210"/>
        <v>6</v>
      </c>
      <c r="BL49" s="78">
        <f t="shared" si="210"/>
        <v>6</v>
      </c>
      <c r="BM49" s="78">
        <f t="shared" si="210"/>
        <v>6</v>
      </c>
      <c r="BN49" s="78">
        <f t="shared" si="210"/>
        <v>6</v>
      </c>
      <c r="BO49" s="78">
        <f t="shared" si="210"/>
        <v>6</v>
      </c>
      <c r="BP49" s="78">
        <f t="shared" ref="BP49:EA49" si="211">ROUNDUP(BP50/12,0)</f>
        <v>6</v>
      </c>
      <c r="BQ49" s="78">
        <f t="shared" si="211"/>
        <v>6</v>
      </c>
      <c r="BR49" s="78">
        <f t="shared" si="211"/>
        <v>6</v>
      </c>
      <c r="BS49" s="78">
        <f t="shared" si="211"/>
        <v>6</v>
      </c>
      <c r="BT49" s="78">
        <f t="shared" si="211"/>
        <v>6</v>
      </c>
      <c r="BU49" s="78">
        <f t="shared" si="211"/>
        <v>6</v>
      </c>
      <c r="BV49" s="78">
        <f t="shared" si="211"/>
        <v>6</v>
      </c>
      <c r="BW49" s="78">
        <f t="shared" si="211"/>
        <v>7</v>
      </c>
      <c r="BX49" s="78">
        <f t="shared" si="211"/>
        <v>7</v>
      </c>
      <c r="BY49" s="78">
        <f t="shared" si="211"/>
        <v>7</v>
      </c>
      <c r="BZ49" s="78">
        <f t="shared" si="211"/>
        <v>7</v>
      </c>
      <c r="CA49" s="78">
        <f t="shared" si="211"/>
        <v>7</v>
      </c>
      <c r="CB49" s="78">
        <f t="shared" si="211"/>
        <v>7</v>
      </c>
      <c r="CC49" s="78">
        <f t="shared" si="211"/>
        <v>7</v>
      </c>
      <c r="CD49" s="78">
        <f t="shared" si="211"/>
        <v>7</v>
      </c>
      <c r="CE49" s="78">
        <f t="shared" si="211"/>
        <v>7</v>
      </c>
      <c r="CF49" s="78">
        <f t="shared" si="211"/>
        <v>7</v>
      </c>
      <c r="CG49" s="78">
        <f t="shared" si="211"/>
        <v>7</v>
      </c>
      <c r="CH49" s="78">
        <f t="shared" si="211"/>
        <v>7</v>
      </c>
      <c r="CI49" s="78">
        <f t="shared" si="211"/>
        <v>8</v>
      </c>
      <c r="CJ49" s="78">
        <f t="shared" si="211"/>
        <v>8</v>
      </c>
      <c r="CK49" s="78">
        <f t="shared" si="211"/>
        <v>8</v>
      </c>
      <c r="CL49" s="78">
        <f t="shared" si="211"/>
        <v>8</v>
      </c>
      <c r="CM49" s="78">
        <f t="shared" si="211"/>
        <v>8</v>
      </c>
      <c r="CN49" s="78">
        <f t="shared" si="211"/>
        <v>8</v>
      </c>
      <c r="CO49" s="78">
        <f t="shared" si="211"/>
        <v>8</v>
      </c>
      <c r="CP49" s="78">
        <f t="shared" si="211"/>
        <v>8</v>
      </c>
      <c r="CQ49" s="78">
        <f t="shared" si="211"/>
        <v>8</v>
      </c>
      <c r="CR49" s="78">
        <f t="shared" si="211"/>
        <v>8</v>
      </c>
      <c r="CS49" s="78">
        <f t="shared" si="211"/>
        <v>8</v>
      </c>
      <c r="CT49" s="78">
        <f t="shared" si="211"/>
        <v>8</v>
      </c>
      <c r="CU49" s="78">
        <f t="shared" si="211"/>
        <v>9</v>
      </c>
      <c r="CV49" s="78">
        <f t="shared" si="211"/>
        <v>9</v>
      </c>
      <c r="CW49" s="78">
        <f t="shared" si="211"/>
        <v>9</v>
      </c>
      <c r="CX49" s="78">
        <f t="shared" si="211"/>
        <v>9</v>
      </c>
      <c r="CY49" s="78">
        <f t="shared" si="211"/>
        <v>9</v>
      </c>
      <c r="CZ49" s="78">
        <f t="shared" si="211"/>
        <v>9</v>
      </c>
      <c r="DA49" s="78">
        <f t="shared" si="211"/>
        <v>9</v>
      </c>
      <c r="DB49" s="78">
        <f t="shared" si="211"/>
        <v>9</v>
      </c>
      <c r="DC49" s="78">
        <f t="shared" si="211"/>
        <v>9</v>
      </c>
      <c r="DD49" s="78">
        <f t="shared" si="211"/>
        <v>9</v>
      </c>
      <c r="DE49" s="78">
        <f t="shared" si="211"/>
        <v>9</v>
      </c>
      <c r="DF49" s="78">
        <f t="shared" si="211"/>
        <v>9</v>
      </c>
      <c r="DG49" s="78">
        <f t="shared" si="211"/>
        <v>10</v>
      </c>
      <c r="DH49" s="78">
        <f t="shared" si="211"/>
        <v>10</v>
      </c>
      <c r="DI49" s="78">
        <f t="shared" si="211"/>
        <v>10</v>
      </c>
      <c r="DJ49" s="78">
        <f t="shared" si="211"/>
        <v>10</v>
      </c>
      <c r="DK49" s="78">
        <f t="shared" si="211"/>
        <v>10</v>
      </c>
      <c r="DL49" s="78">
        <f t="shared" si="211"/>
        <v>10</v>
      </c>
      <c r="DM49" s="78">
        <f t="shared" si="211"/>
        <v>10</v>
      </c>
      <c r="DN49" s="78">
        <f t="shared" si="211"/>
        <v>10</v>
      </c>
      <c r="DO49" s="78">
        <f t="shared" si="211"/>
        <v>10</v>
      </c>
      <c r="DP49" s="78">
        <f t="shared" si="211"/>
        <v>10</v>
      </c>
      <c r="DQ49" s="78">
        <f t="shared" si="211"/>
        <v>10</v>
      </c>
      <c r="DR49" s="78">
        <f t="shared" si="211"/>
        <v>10</v>
      </c>
      <c r="DS49" s="78">
        <f t="shared" si="211"/>
        <v>11</v>
      </c>
      <c r="DT49" s="78">
        <f t="shared" si="211"/>
        <v>11</v>
      </c>
      <c r="DU49" s="78">
        <f t="shared" si="211"/>
        <v>11</v>
      </c>
      <c r="DV49" s="78">
        <f t="shared" si="211"/>
        <v>11</v>
      </c>
      <c r="DW49" s="78">
        <f t="shared" si="211"/>
        <v>11</v>
      </c>
      <c r="DX49" s="78">
        <f t="shared" si="211"/>
        <v>11</v>
      </c>
      <c r="DY49" s="78">
        <f t="shared" si="211"/>
        <v>11</v>
      </c>
      <c r="DZ49" s="78">
        <f t="shared" si="211"/>
        <v>11</v>
      </c>
      <c r="EA49" s="78">
        <f t="shared" si="211"/>
        <v>11</v>
      </c>
      <c r="EB49" s="78">
        <f t="shared" ref="EB49:FZ49" si="212">ROUNDUP(EB50/12,0)</f>
        <v>11</v>
      </c>
      <c r="EC49" s="78">
        <f t="shared" si="212"/>
        <v>11</v>
      </c>
      <c r="ED49" s="78">
        <f t="shared" si="212"/>
        <v>11</v>
      </c>
      <c r="EE49" s="78">
        <f t="shared" si="212"/>
        <v>12</v>
      </c>
      <c r="EF49" s="78">
        <f t="shared" si="212"/>
        <v>12</v>
      </c>
      <c r="EG49" s="78">
        <f t="shared" si="212"/>
        <v>12</v>
      </c>
      <c r="EH49" s="78">
        <f t="shared" si="212"/>
        <v>12</v>
      </c>
      <c r="EI49" s="78">
        <f t="shared" si="212"/>
        <v>12</v>
      </c>
      <c r="EJ49" s="78">
        <f t="shared" si="212"/>
        <v>12</v>
      </c>
      <c r="EK49" s="78">
        <f t="shared" si="212"/>
        <v>12</v>
      </c>
      <c r="EL49" s="78">
        <f t="shared" si="212"/>
        <v>12</v>
      </c>
      <c r="EM49" s="78">
        <f t="shared" si="212"/>
        <v>12</v>
      </c>
      <c r="EN49" s="78">
        <f t="shared" si="212"/>
        <v>12</v>
      </c>
      <c r="EO49" s="78">
        <f t="shared" si="212"/>
        <v>12</v>
      </c>
      <c r="EP49" s="78">
        <f t="shared" si="212"/>
        <v>12</v>
      </c>
      <c r="EQ49" s="78">
        <f t="shared" si="212"/>
        <v>13</v>
      </c>
      <c r="ER49" s="78">
        <f t="shared" si="212"/>
        <v>13</v>
      </c>
      <c r="ES49" s="78">
        <f t="shared" si="212"/>
        <v>13</v>
      </c>
      <c r="ET49" s="78">
        <f t="shared" si="212"/>
        <v>13</v>
      </c>
      <c r="EU49" s="78">
        <f t="shared" si="212"/>
        <v>13</v>
      </c>
      <c r="EV49" s="78">
        <f t="shared" si="212"/>
        <v>13</v>
      </c>
      <c r="EW49" s="78">
        <f t="shared" si="212"/>
        <v>13</v>
      </c>
      <c r="EX49" s="78">
        <f t="shared" si="212"/>
        <v>13</v>
      </c>
      <c r="EY49" s="78">
        <f t="shared" si="212"/>
        <v>13</v>
      </c>
      <c r="EZ49" s="78">
        <f t="shared" si="212"/>
        <v>13</v>
      </c>
      <c r="FA49" s="78">
        <f t="shared" si="212"/>
        <v>13</v>
      </c>
      <c r="FB49" s="78">
        <f t="shared" si="212"/>
        <v>13</v>
      </c>
      <c r="FC49" s="78">
        <f t="shared" si="212"/>
        <v>14</v>
      </c>
      <c r="FD49" s="78">
        <f t="shared" si="212"/>
        <v>14</v>
      </c>
      <c r="FE49" s="78">
        <f t="shared" si="212"/>
        <v>14</v>
      </c>
      <c r="FF49" s="78">
        <f t="shared" si="212"/>
        <v>14</v>
      </c>
      <c r="FG49" s="78">
        <f t="shared" si="212"/>
        <v>14</v>
      </c>
      <c r="FH49" s="78">
        <f t="shared" si="212"/>
        <v>14</v>
      </c>
      <c r="FI49" s="78">
        <f t="shared" si="212"/>
        <v>14</v>
      </c>
      <c r="FJ49" s="78">
        <f t="shared" si="212"/>
        <v>14</v>
      </c>
      <c r="FK49" s="78">
        <f t="shared" si="212"/>
        <v>14</v>
      </c>
      <c r="FL49" s="78">
        <f t="shared" si="212"/>
        <v>14</v>
      </c>
      <c r="FM49" s="78">
        <f t="shared" si="212"/>
        <v>14</v>
      </c>
      <c r="FN49" s="78">
        <f t="shared" si="212"/>
        <v>14</v>
      </c>
      <c r="FO49" s="78">
        <f t="shared" si="212"/>
        <v>15</v>
      </c>
      <c r="FP49" s="78">
        <f t="shared" si="212"/>
        <v>15</v>
      </c>
      <c r="FQ49" s="78">
        <f t="shared" si="212"/>
        <v>15</v>
      </c>
      <c r="FR49" s="78">
        <f t="shared" si="212"/>
        <v>15</v>
      </c>
      <c r="FS49" s="78">
        <f t="shared" si="212"/>
        <v>15</v>
      </c>
      <c r="FT49" s="78">
        <f t="shared" si="212"/>
        <v>15</v>
      </c>
      <c r="FU49" s="78">
        <f t="shared" si="212"/>
        <v>15</v>
      </c>
      <c r="FV49" s="78">
        <f t="shared" si="212"/>
        <v>15</v>
      </c>
      <c r="FW49" s="78">
        <f t="shared" si="212"/>
        <v>15</v>
      </c>
      <c r="FX49" s="78">
        <f t="shared" si="212"/>
        <v>15</v>
      </c>
      <c r="FY49" s="78">
        <f t="shared" si="212"/>
        <v>15</v>
      </c>
      <c r="FZ49" s="79">
        <f t="shared" si="212"/>
        <v>15</v>
      </c>
    </row>
    <row r="50" spans="2:182" x14ac:dyDescent="0.2">
      <c r="B50" s="80" t="s">
        <v>130</v>
      </c>
      <c r="C50" s="81">
        <v>1</v>
      </c>
      <c r="D50" s="81">
        <f>C50+1</f>
        <v>2</v>
      </c>
      <c r="E50" s="81">
        <f t="shared" ref="E50:BP50" si="213">D50+1</f>
        <v>3</v>
      </c>
      <c r="F50" s="81">
        <f t="shared" si="213"/>
        <v>4</v>
      </c>
      <c r="G50" s="81">
        <f t="shared" si="213"/>
        <v>5</v>
      </c>
      <c r="H50" s="81">
        <f t="shared" si="213"/>
        <v>6</v>
      </c>
      <c r="I50" s="81">
        <f t="shared" si="213"/>
        <v>7</v>
      </c>
      <c r="J50" s="81">
        <f t="shared" si="213"/>
        <v>8</v>
      </c>
      <c r="K50" s="81">
        <f t="shared" si="213"/>
        <v>9</v>
      </c>
      <c r="L50" s="81">
        <f t="shared" si="213"/>
        <v>10</v>
      </c>
      <c r="M50" s="81">
        <f t="shared" si="213"/>
        <v>11</v>
      </c>
      <c r="N50" s="81">
        <f t="shared" si="213"/>
        <v>12</v>
      </c>
      <c r="O50" s="81">
        <f t="shared" si="213"/>
        <v>13</v>
      </c>
      <c r="P50" s="81">
        <f t="shared" si="213"/>
        <v>14</v>
      </c>
      <c r="Q50" s="81">
        <f t="shared" si="213"/>
        <v>15</v>
      </c>
      <c r="R50" s="81">
        <f t="shared" si="213"/>
        <v>16</v>
      </c>
      <c r="S50" s="81">
        <f t="shared" si="213"/>
        <v>17</v>
      </c>
      <c r="T50" s="81">
        <f t="shared" si="213"/>
        <v>18</v>
      </c>
      <c r="U50" s="81">
        <f t="shared" si="213"/>
        <v>19</v>
      </c>
      <c r="V50" s="81">
        <f t="shared" si="213"/>
        <v>20</v>
      </c>
      <c r="W50" s="81">
        <f t="shared" si="213"/>
        <v>21</v>
      </c>
      <c r="X50" s="81">
        <f t="shared" si="213"/>
        <v>22</v>
      </c>
      <c r="Y50" s="81">
        <f t="shared" si="213"/>
        <v>23</v>
      </c>
      <c r="Z50" s="81">
        <f t="shared" si="213"/>
        <v>24</v>
      </c>
      <c r="AA50" s="81">
        <f t="shared" si="213"/>
        <v>25</v>
      </c>
      <c r="AB50" s="81">
        <f t="shared" si="213"/>
        <v>26</v>
      </c>
      <c r="AC50" s="81">
        <f t="shared" si="213"/>
        <v>27</v>
      </c>
      <c r="AD50" s="81">
        <f t="shared" si="213"/>
        <v>28</v>
      </c>
      <c r="AE50" s="81">
        <f t="shared" si="213"/>
        <v>29</v>
      </c>
      <c r="AF50" s="81">
        <f t="shared" si="213"/>
        <v>30</v>
      </c>
      <c r="AG50" s="81">
        <f t="shared" si="213"/>
        <v>31</v>
      </c>
      <c r="AH50" s="81">
        <f t="shared" si="213"/>
        <v>32</v>
      </c>
      <c r="AI50" s="81">
        <f t="shared" si="213"/>
        <v>33</v>
      </c>
      <c r="AJ50" s="81">
        <f t="shared" si="213"/>
        <v>34</v>
      </c>
      <c r="AK50" s="81">
        <f t="shared" si="213"/>
        <v>35</v>
      </c>
      <c r="AL50" s="81">
        <f t="shared" si="213"/>
        <v>36</v>
      </c>
      <c r="AM50" s="81">
        <f t="shared" si="213"/>
        <v>37</v>
      </c>
      <c r="AN50" s="81">
        <f t="shared" si="213"/>
        <v>38</v>
      </c>
      <c r="AO50" s="81">
        <f t="shared" si="213"/>
        <v>39</v>
      </c>
      <c r="AP50" s="81">
        <f t="shared" si="213"/>
        <v>40</v>
      </c>
      <c r="AQ50" s="81">
        <f t="shared" si="213"/>
        <v>41</v>
      </c>
      <c r="AR50" s="81">
        <f t="shared" si="213"/>
        <v>42</v>
      </c>
      <c r="AS50" s="81">
        <f t="shared" si="213"/>
        <v>43</v>
      </c>
      <c r="AT50" s="81">
        <f t="shared" si="213"/>
        <v>44</v>
      </c>
      <c r="AU50" s="81">
        <f t="shared" si="213"/>
        <v>45</v>
      </c>
      <c r="AV50" s="81">
        <f t="shared" si="213"/>
        <v>46</v>
      </c>
      <c r="AW50" s="81">
        <f t="shared" si="213"/>
        <v>47</v>
      </c>
      <c r="AX50" s="81">
        <f t="shared" si="213"/>
        <v>48</v>
      </c>
      <c r="AY50" s="81">
        <f t="shared" si="213"/>
        <v>49</v>
      </c>
      <c r="AZ50" s="81">
        <f t="shared" si="213"/>
        <v>50</v>
      </c>
      <c r="BA50" s="81">
        <f t="shared" si="213"/>
        <v>51</v>
      </c>
      <c r="BB50" s="81">
        <f t="shared" si="213"/>
        <v>52</v>
      </c>
      <c r="BC50" s="81">
        <f t="shared" si="213"/>
        <v>53</v>
      </c>
      <c r="BD50" s="81">
        <f t="shared" si="213"/>
        <v>54</v>
      </c>
      <c r="BE50" s="81">
        <f t="shared" si="213"/>
        <v>55</v>
      </c>
      <c r="BF50" s="81">
        <f t="shared" si="213"/>
        <v>56</v>
      </c>
      <c r="BG50" s="81">
        <f t="shared" si="213"/>
        <v>57</v>
      </c>
      <c r="BH50" s="81">
        <f t="shared" si="213"/>
        <v>58</v>
      </c>
      <c r="BI50" s="81">
        <f t="shared" si="213"/>
        <v>59</v>
      </c>
      <c r="BJ50" s="81">
        <f t="shared" si="213"/>
        <v>60</v>
      </c>
      <c r="BK50" s="81">
        <f t="shared" si="213"/>
        <v>61</v>
      </c>
      <c r="BL50" s="81">
        <f t="shared" si="213"/>
        <v>62</v>
      </c>
      <c r="BM50" s="81">
        <f t="shared" si="213"/>
        <v>63</v>
      </c>
      <c r="BN50" s="81">
        <f t="shared" si="213"/>
        <v>64</v>
      </c>
      <c r="BO50" s="81">
        <f t="shared" si="213"/>
        <v>65</v>
      </c>
      <c r="BP50" s="81">
        <f t="shared" si="213"/>
        <v>66</v>
      </c>
      <c r="BQ50" s="81">
        <f t="shared" ref="BQ50:EB50" si="214">BP50+1</f>
        <v>67</v>
      </c>
      <c r="BR50" s="81">
        <f t="shared" si="214"/>
        <v>68</v>
      </c>
      <c r="BS50" s="81">
        <f t="shared" si="214"/>
        <v>69</v>
      </c>
      <c r="BT50" s="81">
        <f t="shared" si="214"/>
        <v>70</v>
      </c>
      <c r="BU50" s="81">
        <f t="shared" si="214"/>
        <v>71</v>
      </c>
      <c r="BV50" s="81">
        <f t="shared" si="214"/>
        <v>72</v>
      </c>
      <c r="BW50" s="81">
        <f t="shared" si="214"/>
        <v>73</v>
      </c>
      <c r="BX50" s="81">
        <f t="shared" si="214"/>
        <v>74</v>
      </c>
      <c r="BY50" s="81">
        <f t="shared" si="214"/>
        <v>75</v>
      </c>
      <c r="BZ50" s="81">
        <f t="shared" si="214"/>
        <v>76</v>
      </c>
      <c r="CA50" s="81">
        <f t="shared" si="214"/>
        <v>77</v>
      </c>
      <c r="CB50" s="81">
        <f t="shared" si="214"/>
        <v>78</v>
      </c>
      <c r="CC50" s="81">
        <f t="shared" si="214"/>
        <v>79</v>
      </c>
      <c r="CD50" s="81">
        <f t="shared" si="214"/>
        <v>80</v>
      </c>
      <c r="CE50" s="81">
        <f t="shared" si="214"/>
        <v>81</v>
      </c>
      <c r="CF50" s="81">
        <f t="shared" si="214"/>
        <v>82</v>
      </c>
      <c r="CG50" s="81">
        <f t="shared" si="214"/>
        <v>83</v>
      </c>
      <c r="CH50" s="81">
        <f t="shared" si="214"/>
        <v>84</v>
      </c>
      <c r="CI50" s="81">
        <f t="shared" si="214"/>
        <v>85</v>
      </c>
      <c r="CJ50" s="81">
        <f t="shared" si="214"/>
        <v>86</v>
      </c>
      <c r="CK50" s="81">
        <f t="shared" si="214"/>
        <v>87</v>
      </c>
      <c r="CL50" s="81">
        <f t="shared" si="214"/>
        <v>88</v>
      </c>
      <c r="CM50" s="81">
        <f t="shared" si="214"/>
        <v>89</v>
      </c>
      <c r="CN50" s="81">
        <f t="shared" si="214"/>
        <v>90</v>
      </c>
      <c r="CO50" s="81">
        <f t="shared" si="214"/>
        <v>91</v>
      </c>
      <c r="CP50" s="81">
        <f t="shared" si="214"/>
        <v>92</v>
      </c>
      <c r="CQ50" s="81">
        <f t="shared" si="214"/>
        <v>93</v>
      </c>
      <c r="CR50" s="81">
        <f t="shared" si="214"/>
        <v>94</v>
      </c>
      <c r="CS50" s="81">
        <f t="shared" si="214"/>
        <v>95</v>
      </c>
      <c r="CT50" s="81">
        <f t="shared" si="214"/>
        <v>96</v>
      </c>
      <c r="CU50" s="81">
        <f t="shared" si="214"/>
        <v>97</v>
      </c>
      <c r="CV50" s="81">
        <f t="shared" si="214"/>
        <v>98</v>
      </c>
      <c r="CW50" s="81">
        <f t="shared" si="214"/>
        <v>99</v>
      </c>
      <c r="CX50" s="81">
        <f t="shared" si="214"/>
        <v>100</v>
      </c>
      <c r="CY50" s="81">
        <f t="shared" si="214"/>
        <v>101</v>
      </c>
      <c r="CZ50" s="81">
        <f t="shared" si="214"/>
        <v>102</v>
      </c>
      <c r="DA50" s="81">
        <f t="shared" si="214"/>
        <v>103</v>
      </c>
      <c r="DB50" s="81">
        <f t="shared" si="214"/>
        <v>104</v>
      </c>
      <c r="DC50" s="81">
        <f t="shared" si="214"/>
        <v>105</v>
      </c>
      <c r="DD50" s="81">
        <f t="shared" si="214"/>
        <v>106</v>
      </c>
      <c r="DE50" s="81">
        <f t="shared" si="214"/>
        <v>107</v>
      </c>
      <c r="DF50" s="81">
        <f t="shared" si="214"/>
        <v>108</v>
      </c>
      <c r="DG50" s="81">
        <f t="shared" si="214"/>
        <v>109</v>
      </c>
      <c r="DH50" s="81">
        <f t="shared" si="214"/>
        <v>110</v>
      </c>
      <c r="DI50" s="81">
        <f t="shared" si="214"/>
        <v>111</v>
      </c>
      <c r="DJ50" s="81">
        <f t="shared" si="214"/>
        <v>112</v>
      </c>
      <c r="DK50" s="81">
        <f t="shared" si="214"/>
        <v>113</v>
      </c>
      <c r="DL50" s="81">
        <f t="shared" si="214"/>
        <v>114</v>
      </c>
      <c r="DM50" s="81">
        <f t="shared" si="214"/>
        <v>115</v>
      </c>
      <c r="DN50" s="81">
        <f t="shared" si="214"/>
        <v>116</v>
      </c>
      <c r="DO50" s="81">
        <f t="shared" si="214"/>
        <v>117</v>
      </c>
      <c r="DP50" s="81">
        <f t="shared" si="214"/>
        <v>118</v>
      </c>
      <c r="DQ50" s="81">
        <f t="shared" si="214"/>
        <v>119</v>
      </c>
      <c r="DR50" s="81">
        <f t="shared" si="214"/>
        <v>120</v>
      </c>
      <c r="DS50" s="81">
        <f t="shared" si="214"/>
        <v>121</v>
      </c>
      <c r="DT50" s="81">
        <f t="shared" si="214"/>
        <v>122</v>
      </c>
      <c r="DU50" s="81">
        <f t="shared" si="214"/>
        <v>123</v>
      </c>
      <c r="DV50" s="81">
        <f t="shared" si="214"/>
        <v>124</v>
      </c>
      <c r="DW50" s="81">
        <f t="shared" si="214"/>
        <v>125</v>
      </c>
      <c r="DX50" s="81">
        <f t="shared" si="214"/>
        <v>126</v>
      </c>
      <c r="DY50" s="81">
        <f t="shared" si="214"/>
        <v>127</v>
      </c>
      <c r="DZ50" s="81">
        <f t="shared" si="214"/>
        <v>128</v>
      </c>
      <c r="EA50" s="81">
        <f t="shared" si="214"/>
        <v>129</v>
      </c>
      <c r="EB50" s="81">
        <f t="shared" si="214"/>
        <v>130</v>
      </c>
      <c r="EC50" s="81">
        <f t="shared" ref="EC50:FZ50" si="215">EB50+1</f>
        <v>131</v>
      </c>
      <c r="ED50" s="81">
        <f t="shared" si="215"/>
        <v>132</v>
      </c>
      <c r="EE50" s="81">
        <f t="shared" si="215"/>
        <v>133</v>
      </c>
      <c r="EF50" s="81">
        <f t="shared" si="215"/>
        <v>134</v>
      </c>
      <c r="EG50" s="81">
        <f t="shared" si="215"/>
        <v>135</v>
      </c>
      <c r="EH50" s="81">
        <f t="shared" si="215"/>
        <v>136</v>
      </c>
      <c r="EI50" s="81">
        <f t="shared" si="215"/>
        <v>137</v>
      </c>
      <c r="EJ50" s="81">
        <f t="shared" si="215"/>
        <v>138</v>
      </c>
      <c r="EK50" s="81">
        <f t="shared" si="215"/>
        <v>139</v>
      </c>
      <c r="EL50" s="81">
        <f t="shared" si="215"/>
        <v>140</v>
      </c>
      <c r="EM50" s="81">
        <f t="shared" si="215"/>
        <v>141</v>
      </c>
      <c r="EN50" s="81">
        <f t="shared" si="215"/>
        <v>142</v>
      </c>
      <c r="EO50" s="81">
        <f t="shared" si="215"/>
        <v>143</v>
      </c>
      <c r="EP50" s="81">
        <f t="shared" si="215"/>
        <v>144</v>
      </c>
      <c r="EQ50" s="81">
        <f t="shared" si="215"/>
        <v>145</v>
      </c>
      <c r="ER50" s="81">
        <f t="shared" si="215"/>
        <v>146</v>
      </c>
      <c r="ES50" s="81">
        <f t="shared" si="215"/>
        <v>147</v>
      </c>
      <c r="ET50" s="81">
        <f t="shared" si="215"/>
        <v>148</v>
      </c>
      <c r="EU50" s="81">
        <f t="shared" si="215"/>
        <v>149</v>
      </c>
      <c r="EV50" s="81">
        <f t="shared" si="215"/>
        <v>150</v>
      </c>
      <c r="EW50" s="81">
        <f t="shared" si="215"/>
        <v>151</v>
      </c>
      <c r="EX50" s="81">
        <f t="shared" si="215"/>
        <v>152</v>
      </c>
      <c r="EY50" s="81">
        <f t="shared" si="215"/>
        <v>153</v>
      </c>
      <c r="EZ50" s="81">
        <f t="shared" si="215"/>
        <v>154</v>
      </c>
      <c r="FA50" s="81">
        <f t="shared" si="215"/>
        <v>155</v>
      </c>
      <c r="FB50" s="81">
        <f t="shared" si="215"/>
        <v>156</v>
      </c>
      <c r="FC50" s="81">
        <f t="shared" si="215"/>
        <v>157</v>
      </c>
      <c r="FD50" s="81">
        <f t="shared" si="215"/>
        <v>158</v>
      </c>
      <c r="FE50" s="81">
        <f t="shared" si="215"/>
        <v>159</v>
      </c>
      <c r="FF50" s="81">
        <f t="shared" si="215"/>
        <v>160</v>
      </c>
      <c r="FG50" s="81">
        <f t="shared" si="215"/>
        <v>161</v>
      </c>
      <c r="FH50" s="81">
        <f t="shared" si="215"/>
        <v>162</v>
      </c>
      <c r="FI50" s="81">
        <f t="shared" si="215"/>
        <v>163</v>
      </c>
      <c r="FJ50" s="81">
        <f t="shared" si="215"/>
        <v>164</v>
      </c>
      <c r="FK50" s="81">
        <f t="shared" si="215"/>
        <v>165</v>
      </c>
      <c r="FL50" s="81">
        <f t="shared" si="215"/>
        <v>166</v>
      </c>
      <c r="FM50" s="81">
        <f t="shared" si="215"/>
        <v>167</v>
      </c>
      <c r="FN50" s="81">
        <f t="shared" si="215"/>
        <v>168</v>
      </c>
      <c r="FO50" s="81">
        <f t="shared" si="215"/>
        <v>169</v>
      </c>
      <c r="FP50" s="81">
        <f t="shared" si="215"/>
        <v>170</v>
      </c>
      <c r="FQ50" s="81">
        <f t="shared" si="215"/>
        <v>171</v>
      </c>
      <c r="FR50" s="81">
        <f t="shared" si="215"/>
        <v>172</v>
      </c>
      <c r="FS50" s="81">
        <f t="shared" si="215"/>
        <v>173</v>
      </c>
      <c r="FT50" s="81">
        <f t="shared" si="215"/>
        <v>174</v>
      </c>
      <c r="FU50" s="81">
        <f t="shared" si="215"/>
        <v>175</v>
      </c>
      <c r="FV50" s="81">
        <f t="shared" si="215"/>
        <v>176</v>
      </c>
      <c r="FW50" s="81">
        <f t="shared" si="215"/>
        <v>177</v>
      </c>
      <c r="FX50" s="81">
        <f t="shared" si="215"/>
        <v>178</v>
      </c>
      <c r="FY50" s="81">
        <f t="shared" si="215"/>
        <v>179</v>
      </c>
      <c r="FZ50" s="82">
        <f t="shared" si="215"/>
        <v>180</v>
      </c>
    </row>
    <row r="51" spans="2:182" x14ac:dyDescent="0.2">
      <c r="B51" s="80" t="s">
        <v>131</v>
      </c>
      <c r="C51" s="83">
        <f>EOMONTH(Analysis_Start,0)</f>
        <v>43861</v>
      </c>
      <c r="D51" s="83">
        <f>EOMONTH(C15,1)</f>
        <v>43890</v>
      </c>
      <c r="E51" s="83">
        <f t="shared" ref="E51:BP51" si="216">EOMONTH(D15,1)</f>
        <v>43921</v>
      </c>
      <c r="F51" s="83">
        <f t="shared" si="216"/>
        <v>43951</v>
      </c>
      <c r="G51" s="83">
        <f t="shared" si="216"/>
        <v>43982</v>
      </c>
      <c r="H51" s="83">
        <f t="shared" si="216"/>
        <v>44012</v>
      </c>
      <c r="I51" s="83">
        <f t="shared" si="216"/>
        <v>44043</v>
      </c>
      <c r="J51" s="83">
        <f t="shared" si="216"/>
        <v>44074</v>
      </c>
      <c r="K51" s="83">
        <f t="shared" si="216"/>
        <v>44104</v>
      </c>
      <c r="L51" s="83">
        <f t="shared" si="216"/>
        <v>44135</v>
      </c>
      <c r="M51" s="83">
        <f t="shared" si="216"/>
        <v>44165</v>
      </c>
      <c r="N51" s="83">
        <f t="shared" si="216"/>
        <v>44196</v>
      </c>
      <c r="O51" s="83">
        <f t="shared" si="216"/>
        <v>44227</v>
      </c>
      <c r="P51" s="83">
        <f t="shared" si="216"/>
        <v>44255</v>
      </c>
      <c r="Q51" s="83">
        <f t="shared" si="216"/>
        <v>44286</v>
      </c>
      <c r="R51" s="83">
        <f t="shared" si="216"/>
        <v>44316</v>
      </c>
      <c r="S51" s="83">
        <f t="shared" si="216"/>
        <v>44347</v>
      </c>
      <c r="T51" s="83">
        <f t="shared" si="216"/>
        <v>44377</v>
      </c>
      <c r="U51" s="83">
        <f t="shared" si="216"/>
        <v>44408</v>
      </c>
      <c r="V51" s="83">
        <f t="shared" si="216"/>
        <v>44439</v>
      </c>
      <c r="W51" s="83">
        <f t="shared" si="216"/>
        <v>44469</v>
      </c>
      <c r="X51" s="83">
        <f t="shared" si="216"/>
        <v>44500</v>
      </c>
      <c r="Y51" s="83">
        <f t="shared" si="216"/>
        <v>44530</v>
      </c>
      <c r="Z51" s="83">
        <f t="shared" si="216"/>
        <v>44561</v>
      </c>
      <c r="AA51" s="83">
        <f t="shared" si="216"/>
        <v>44592</v>
      </c>
      <c r="AB51" s="83">
        <f t="shared" si="216"/>
        <v>44620</v>
      </c>
      <c r="AC51" s="83">
        <f t="shared" si="216"/>
        <v>44651</v>
      </c>
      <c r="AD51" s="83">
        <f t="shared" si="216"/>
        <v>44681</v>
      </c>
      <c r="AE51" s="83">
        <f t="shared" si="216"/>
        <v>44712</v>
      </c>
      <c r="AF51" s="83">
        <f t="shared" si="216"/>
        <v>44742</v>
      </c>
      <c r="AG51" s="83">
        <f t="shared" si="216"/>
        <v>44773</v>
      </c>
      <c r="AH51" s="83">
        <f t="shared" si="216"/>
        <v>44804</v>
      </c>
      <c r="AI51" s="83">
        <f t="shared" si="216"/>
        <v>44834</v>
      </c>
      <c r="AJ51" s="83">
        <f t="shared" si="216"/>
        <v>44865</v>
      </c>
      <c r="AK51" s="83">
        <f t="shared" si="216"/>
        <v>44895</v>
      </c>
      <c r="AL51" s="83">
        <f t="shared" si="216"/>
        <v>44926</v>
      </c>
      <c r="AM51" s="83">
        <f t="shared" si="216"/>
        <v>44957</v>
      </c>
      <c r="AN51" s="83">
        <f t="shared" si="216"/>
        <v>44985</v>
      </c>
      <c r="AO51" s="83">
        <f t="shared" si="216"/>
        <v>45016</v>
      </c>
      <c r="AP51" s="83">
        <f t="shared" si="216"/>
        <v>45046</v>
      </c>
      <c r="AQ51" s="83">
        <f t="shared" si="216"/>
        <v>45077</v>
      </c>
      <c r="AR51" s="83">
        <f t="shared" si="216"/>
        <v>45107</v>
      </c>
      <c r="AS51" s="83">
        <f t="shared" si="216"/>
        <v>45138</v>
      </c>
      <c r="AT51" s="83">
        <f t="shared" si="216"/>
        <v>45169</v>
      </c>
      <c r="AU51" s="83">
        <f t="shared" si="216"/>
        <v>45199</v>
      </c>
      <c r="AV51" s="83">
        <f t="shared" si="216"/>
        <v>45230</v>
      </c>
      <c r="AW51" s="83">
        <f t="shared" si="216"/>
        <v>45260</v>
      </c>
      <c r="AX51" s="83">
        <f t="shared" si="216"/>
        <v>45291</v>
      </c>
      <c r="AY51" s="83">
        <f t="shared" si="216"/>
        <v>45322</v>
      </c>
      <c r="AZ51" s="83">
        <f t="shared" si="216"/>
        <v>45351</v>
      </c>
      <c r="BA51" s="83">
        <f t="shared" si="216"/>
        <v>45382</v>
      </c>
      <c r="BB51" s="83">
        <f t="shared" si="216"/>
        <v>45412</v>
      </c>
      <c r="BC51" s="83">
        <f t="shared" si="216"/>
        <v>45443</v>
      </c>
      <c r="BD51" s="83">
        <f t="shared" si="216"/>
        <v>45473</v>
      </c>
      <c r="BE51" s="83">
        <f t="shared" si="216"/>
        <v>45504</v>
      </c>
      <c r="BF51" s="83">
        <f t="shared" si="216"/>
        <v>45535</v>
      </c>
      <c r="BG51" s="83">
        <f t="shared" si="216"/>
        <v>45565</v>
      </c>
      <c r="BH51" s="83">
        <f t="shared" si="216"/>
        <v>45596</v>
      </c>
      <c r="BI51" s="83">
        <f t="shared" si="216"/>
        <v>45626</v>
      </c>
      <c r="BJ51" s="83">
        <f t="shared" si="216"/>
        <v>45657</v>
      </c>
      <c r="BK51" s="83">
        <f t="shared" si="216"/>
        <v>45688</v>
      </c>
      <c r="BL51" s="83">
        <f t="shared" si="216"/>
        <v>45716</v>
      </c>
      <c r="BM51" s="83">
        <f t="shared" si="216"/>
        <v>45747</v>
      </c>
      <c r="BN51" s="83">
        <f t="shared" si="216"/>
        <v>45777</v>
      </c>
      <c r="BO51" s="83">
        <f t="shared" si="216"/>
        <v>45808</v>
      </c>
      <c r="BP51" s="83">
        <f t="shared" si="216"/>
        <v>45838</v>
      </c>
      <c r="BQ51" s="83">
        <f t="shared" ref="BQ51:EB51" si="217">EOMONTH(BP15,1)</f>
        <v>45869</v>
      </c>
      <c r="BR51" s="83">
        <f t="shared" si="217"/>
        <v>45900</v>
      </c>
      <c r="BS51" s="83">
        <f t="shared" si="217"/>
        <v>45930</v>
      </c>
      <c r="BT51" s="83">
        <f t="shared" si="217"/>
        <v>45961</v>
      </c>
      <c r="BU51" s="83">
        <f t="shared" si="217"/>
        <v>45991</v>
      </c>
      <c r="BV51" s="83">
        <f t="shared" si="217"/>
        <v>46022</v>
      </c>
      <c r="BW51" s="83">
        <f t="shared" si="217"/>
        <v>46053</v>
      </c>
      <c r="BX51" s="83">
        <f t="shared" si="217"/>
        <v>46081</v>
      </c>
      <c r="BY51" s="83">
        <f t="shared" si="217"/>
        <v>46112</v>
      </c>
      <c r="BZ51" s="83">
        <f t="shared" si="217"/>
        <v>46142</v>
      </c>
      <c r="CA51" s="83">
        <f t="shared" si="217"/>
        <v>46173</v>
      </c>
      <c r="CB51" s="83">
        <f t="shared" si="217"/>
        <v>46203</v>
      </c>
      <c r="CC51" s="83">
        <f t="shared" si="217"/>
        <v>46234</v>
      </c>
      <c r="CD51" s="83">
        <f t="shared" si="217"/>
        <v>46265</v>
      </c>
      <c r="CE51" s="83">
        <f t="shared" si="217"/>
        <v>46295</v>
      </c>
      <c r="CF51" s="83">
        <f t="shared" si="217"/>
        <v>46326</v>
      </c>
      <c r="CG51" s="83">
        <f t="shared" si="217"/>
        <v>46356</v>
      </c>
      <c r="CH51" s="83">
        <f t="shared" si="217"/>
        <v>46387</v>
      </c>
      <c r="CI51" s="83">
        <f t="shared" si="217"/>
        <v>46418</v>
      </c>
      <c r="CJ51" s="83">
        <f t="shared" si="217"/>
        <v>46446</v>
      </c>
      <c r="CK51" s="83">
        <f t="shared" si="217"/>
        <v>46477</v>
      </c>
      <c r="CL51" s="83">
        <f t="shared" si="217"/>
        <v>46507</v>
      </c>
      <c r="CM51" s="83">
        <f t="shared" si="217"/>
        <v>46538</v>
      </c>
      <c r="CN51" s="83">
        <f t="shared" si="217"/>
        <v>46568</v>
      </c>
      <c r="CO51" s="83">
        <f t="shared" si="217"/>
        <v>46599</v>
      </c>
      <c r="CP51" s="83">
        <f t="shared" si="217"/>
        <v>46630</v>
      </c>
      <c r="CQ51" s="83">
        <f t="shared" si="217"/>
        <v>46660</v>
      </c>
      <c r="CR51" s="83">
        <f t="shared" si="217"/>
        <v>46691</v>
      </c>
      <c r="CS51" s="83">
        <f t="shared" si="217"/>
        <v>46721</v>
      </c>
      <c r="CT51" s="83">
        <f t="shared" si="217"/>
        <v>46752</v>
      </c>
      <c r="CU51" s="83">
        <f t="shared" si="217"/>
        <v>46783</v>
      </c>
      <c r="CV51" s="83">
        <f t="shared" si="217"/>
        <v>46812</v>
      </c>
      <c r="CW51" s="83">
        <f t="shared" si="217"/>
        <v>46843</v>
      </c>
      <c r="CX51" s="83">
        <f t="shared" si="217"/>
        <v>46873</v>
      </c>
      <c r="CY51" s="83">
        <f t="shared" si="217"/>
        <v>46904</v>
      </c>
      <c r="CZ51" s="83">
        <f t="shared" si="217"/>
        <v>46934</v>
      </c>
      <c r="DA51" s="83">
        <f t="shared" si="217"/>
        <v>46965</v>
      </c>
      <c r="DB51" s="83">
        <f t="shared" si="217"/>
        <v>46996</v>
      </c>
      <c r="DC51" s="83">
        <f t="shared" si="217"/>
        <v>47026</v>
      </c>
      <c r="DD51" s="83">
        <f t="shared" si="217"/>
        <v>47057</v>
      </c>
      <c r="DE51" s="83">
        <f t="shared" si="217"/>
        <v>47087</v>
      </c>
      <c r="DF51" s="83">
        <f t="shared" si="217"/>
        <v>47118</v>
      </c>
      <c r="DG51" s="83">
        <f t="shared" si="217"/>
        <v>47149</v>
      </c>
      <c r="DH51" s="83">
        <f t="shared" si="217"/>
        <v>47177</v>
      </c>
      <c r="DI51" s="83">
        <f t="shared" si="217"/>
        <v>47208</v>
      </c>
      <c r="DJ51" s="83">
        <f t="shared" si="217"/>
        <v>47238</v>
      </c>
      <c r="DK51" s="83">
        <f t="shared" si="217"/>
        <v>47269</v>
      </c>
      <c r="DL51" s="83">
        <f t="shared" si="217"/>
        <v>47299</v>
      </c>
      <c r="DM51" s="83">
        <f t="shared" si="217"/>
        <v>47330</v>
      </c>
      <c r="DN51" s="83">
        <f t="shared" si="217"/>
        <v>47361</v>
      </c>
      <c r="DO51" s="83">
        <f t="shared" si="217"/>
        <v>47391</v>
      </c>
      <c r="DP51" s="83">
        <f t="shared" si="217"/>
        <v>47422</v>
      </c>
      <c r="DQ51" s="83">
        <f t="shared" si="217"/>
        <v>47452</v>
      </c>
      <c r="DR51" s="83">
        <f t="shared" si="217"/>
        <v>47483</v>
      </c>
      <c r="DS51" s="83">
        <f t="shared" si="217"/>
        <v>47514</v>
      </c>
      <c r="DT51" s="83">
        <f t="shared" si="217"/>
        <v>47542</v>
      </c>
      <c r="DU51" s="83">
        <f t="shared" si="217"/>
        <v>47573</v>
      </c>
      <c r="DV51" s="83">
        <f t="shared" si="217"/>
        <v>47603</v>
      </c>
      <c r="DW51" s="83">
        <f t="shared" si="217"/>
        <v>47634</v>
      </c>
      <c r="DX51" s="83">
        <f t="shared" si="217"/>
        <v>47664</v>
      </c>
      <c r="DY51" s="83">
        <f t="shared" si="217"/>
        <v>47695</v>
      </c>
      <c r="DZ51" s="83">
        <f t="shared" si="217"/>
        <v>47726</v>
      </c>
      <c r="EA51" s="83">
        <f t="shared" si="217"/>
        <v>47756</v>
      </c>
      <c r="EB51" s="83">
        <f t="shared" si="217"/>
        <v>47787</v>
      </c>
      <c r="EC51" s="83">
        <f t="shared" ref="EC51:FZ51" si="218">EOMONTH(EB15,1)</f>
        <v>47817</v>
      </c>
      <c r="ED51" s="83">
        <f t="shared" si="218"/>
        <v>47848</v>
      </c>
      <c r="EE51" s="83">
        <f t="shared" si="218"/>
        <v>47879</v>
      </c>
      <c r="EF51" s="83">
        <f t="shared" si="218"/>
        <v>47907</v>
      </c>
      <c r="EG51" s="83">
        <f t="shared" si="218"/>
        <v>47938</v>
      </c>
      <c r="EH51" s="83">
        <f t="shared" si="218"/>
        <v>47968</v>
      </c>
      <c r="EI51" s="83">
        <f t="shared" si="218"/>
        <v>47999</v>
      </c>
      <c r="EJ51" s="83">
        <f t="shared" si="218"/>
        <v>48029</v>
      </c>
      <c r="EK51" s="83">
        <f t="shared" si="218"/>
        <v>48060</v>
      </c>
      <c r="EL51" s="83">
        <f t="shared" si="218"/>
        <v>48091</v>
      </c>
      <c r="EM51" s="83">
        <f t="shared" si="218"/>
        <v>48121</v>
      </c>
      <c r="EN51" s="83">
        <f t="shared" si="218"/>
        <v>48152</v>
      </c>
      <c r="EO51" s="83">
        <f t="shared" si="218"/>
        <v>48182</v>
      </c>
      <c r="EP51" s="83">
        <f t="shared" si="218"/>
        <v>48213</v>
      </c>
      <c r="EQ51" s="83">
        <f t="shared" si="218"/>
        <v>48244</v>
      </c>
      <c r="ER51" s="83">
        <f t="shared" si="218"/>
        <v>48273</v>
      </c>
      <c r="ES51" s="83">
        <f t="shared" si="218"/>
        <v>48304</v>
      </c>
      <c r="ET51" s="83">
        <f t="shared" si="218"/>
        <v>48334</v>
      </c>
      <c r="EU51" s="83">
        <f t="shared" si="218"/>
        <v>48365</v>
      </c>
      <c r="EV51" s="83">
        <f t="shared" si="218"/>
        <v>48395</v>
      </c>
      <c r="EW51" s="83">
        <f t="shared" si="218"/>
        <v>48426</v>
      </c>
      <c r="EX51" s="83">
        <f t="shared" si="218"/>
        <v>48457</v>
      </c>
      <c r="EY51" s="83">
        <f t="shared" si="218"/>
        <v>48487</v>
      </c>
      <c r="EZ51" s="83">
        <f t="shared" si="218"/>
        <v>48518</v>
      </c>
      <c r="FA51" s="83">
        <f t="shared" si="218"/>
        <v>48548</v>
      </c>
      <c r="FB51" s="83">
        <f t="shared" si="218"/>
        <v>48579</v>
      </c>
      <c r="FC51" s="83">
        <f t="shared" si="218"/>
        <v>48610</v>
      </c>
      <c r="FD51" s="83">
        <f t="shared" si="218"/>
        <v>48638</v>
      </c>
      <c r="FE51" s="83">
        <f t="shared" si="218"/>
        <v>48669</v>
      </c>
      <c r="FF51" s="83">
        <f t="shared" si="218"/>
        <v>48699</v>
      </c>
      <c r="FG51" s="83">
        <f t="shared" si="218"/>
        <v>48730</v>
      </c>
      <c r="FH51" s="83">
        <f t="shared" si="218"/>
        <v>48760</v>
      </c>
      <c r="FI51" s="83">
        <f t="shared" si="218"/>
        <v>48791</v>
      </c>
      <c r="FJ51" s="83">
        <f t="shared" si="218"/>
        <v>48822</v>
      </c>
      <c r="FK51" s="83">
        <f t="shared" si="218"/>
        <v>48852</v>
      </c>
      <c r="FL51" s="83">
        <f t="shared" si="218"/>
        <v>48883</v>
      </c>
      <c r="FM51" s="83">
        <f t="shared" si="218"/>
        <v>48913</v>
      </c>
      <c r="FN51" s="83">
        <f t="shared" si="218"/>
        <v>48944</v>
      </c>
      <c r="FO51" s="83">
        <f t="shared" si="218"/>
        <v>48975</v>
      </c>
      <c r="FP51" s="83">
        <f t="shared" si="218"/>
        <v>49003</v>
      </c>
      <c r="FQ51" s="83">
        <f t="shared" si="218"/>
        <v>49034</v>
      </c>
      <c r="FR51" s="83">
        <f t="shared" si="218"/>
        <v>49064</v>
      </c>
      <c r="FS51" s="83">
        <f t="shared" si="218"/>
        <v>49095</v>
      </c>
      <c r="FT51" s="83">
        <f t="shared" si="218"/>
        <v>49125</v>
      </c>
      <c r="FU51" s="83">
        <f t="shared" si="218"/>
        <v>49156</v>
      </c>
      <c r="FV51" s="83">
        <f t="shared" si="218"/>
        <v>49187</v>
      </c>
      <c r="FW51" s="83">
        <f t="shared" si="218"/>
        <v>49217</v>
      </c>
      <c r="FX51" s="83">
        <f t="shared" si="218"/>
        <v>49248</v>
      </c>
      <c r="FY51" s="83">
        <f t="shared" si="218"/>
        <v>49278</v>
      </c>
      <c r="FZ51" s="84">
        <f t="shared" si="218"/>
        <v>49309</v>
      </c>
    </row>
    <row r="52" spans="2:182" x14ac:dyDescent="0.2">
      <c r="B52" s="85"/>
      <c r="C52" s="73">
        <f>IF(OR($B5="",$B5=0),"",$P5*C16*B40)</f>
        <v>0</v>
      </c>
      <c r="D52" s="73">
        <f t="shared" ref="D52:BO53" si="219">IF(OR($B5="",$B5=0),"",$P5*D16*C40)</f>
        <v>0</v>
      </c>
      <c r="E52" s="73">
        <f t="shared" si="219"/>
        <v>0</v>
      </c>
      <c r="F52" s="73">
        <f t="shared" si="219"/>
        <v>0</v>
      </c>
      <c r="G52" s="73">
        <f t="shared" si="219"/>
        <v>0</v>
      </c>
      <c r="H52" s="73">
        <f t="shared" si="219"/>
        <v>0</v>
      </c>
      <c r="I52" s="73">
        <f t="shared" si="219"/>
        <v>0</v>
      </c>
      <c r="J52" s="73">
        <f t="shared" si="219"/>
        <v>0</v>
      </c>
      <c r="K52" s="73">
        <f t="shared" si="219"/>
        <v>0</v>
      </c>
      <c r="L52" s="73">
        <f t="shared" si="219"/>
        <v>0</v>
      </c>
      <c r="M52" s="73">
        <f t="shared" si="219"/>
        <v>0</v>
      </c>
      <c r="N52" s="73">
        <f t="shared" si="219"/>
        <v>0</v>
      </c>
      <c r="O52" s="73">
        <f t="shared" si="219"/>
        <v>0</v>
      </c>
      <c r="P52" s="73">
        <f t="shared" si="219"/>
        <v>0</v>
      </c>
      <c r="Q52" s="73">
        <f t="shared" si="219"/>
        <v>0</v>
      </c>
      <c r="R52" s="73">
        <f t="shared" si="219"/>
        <v>0</v>
      </c>
      <c r="S52" s="73">
        <f t="shared" si="219"/>
        <v>0</v>
      </c>
      <c r="T52" s="73">
        <f t="shared" si="219"/>
        <v>0</v>
      </c>
      <c r="U52" s="73">
        <f t="shared" si="219"/>
        <v>0</v>
      </c>
      <c r="V52" s="73">
        <f t="shared" si="219"/>
        <v>0</v>
      </c>
      <c r="W52" s="73">
        <f t="shared" si="219"/>
        <v>0</v>
      </c>
      <c r="X52" s="73">
        <f t="shared" si="219"/>
        <v>0</v>
      </c>
      <c r="Y52" s="73">
        <f t="shared" si="219"/>
        <v>0</v>
      </c>
      <c r="Z52" s="73">
        <f t="shared" si="219"/>
        <v>0</v>
      </c>
      <c r="AA52" s="73">
        <f t="shared" si="219"/>
        <v>0</v>
      </c>
      <c r="AB52" s="73">
        <f t="shared" si="219"/>
        <v>0</v>
      </c>
      <c r="AC52" s="73">
        <f t="shared" si="219"/>
        <v>0</v>
      </c>
      <c r="AD52" s="73">
        <f t="shared" si="219"/>
        <v>0</v>
      </c>
      <c r="AE52" s="73">
        <f t="shared" si="219"/>
        <v>0</v>
      </c>
      <c r="AF52" s="73">
        <f t="shared" si="219"/>
        <v>0</v>
      </c>
      <c r="AG52" s="73">
        <f t="shared" si="219"/>
        <v>0</v>
      </c>
      <c r="AH52" s="73">
        <f t="shared" si="219"/>
        <v>0</v>
      </c>
      <c r="AI52" s="73">
        <f t="shared" si="219"/>
        <v>0</v>
      </c>
      <c r="AJ52" s="73">
        <f t="shared" si="219"/>
        <v>0</v>
      </c>
      <c r="AK52" s="73">
        <f t="shared" si="219"/>
        <v>0</v>
      </c>
      <c r="AL52" s="73">
        <f t="shared" si="219"/>
        <v>0</v>
      </c>
      <c r="AM52" s="73">
        <f t="shared" si="219"/>
        <v>0</v>
      </c>
      <c r="AN52" s="73">
        <f t="shared" si="219"/>
        <v>0</v>
      </c>
      <c r="AO52" s="73">
        <f t="shared" si="219"/>
        <v>0</v>
      </c>
      <c r="AP52" s="73">
        <f t="shared" si="219"/>
        <v>0</v>
      </c>
      <c r="AQ52" s="73">
        <f t="shared" si="219"/>
        <v>0</v>
      </c>
      <c r="AR52" s="73">
        <f t="shared" si="219"/>
        <v>0</v>
      </c>
      <c r="AS52" s="73">
        <f t="shared" si="219"/>
        <v>0</v>
      </c>
      <c r="AT52" s="73">
        <f t="shared" si="219"/>
        <v>0</v>
      </c>
      <c r="AU52" s="73">
        <f t="shared" si="219"/>
        <v>0</v>
      </c>
      <c r="AV52" s="73">
        <f t="shared" si="219"/>
        <v>0</v>
      </c>
      <c r="AW52" s="73">
        <f t="shared" si="219"/>
        <v>0</v>
      </c>
      <c r="AX52" s="73">
        <f t="shared" si="219"/>
        <v>0</v>
      </c>
      <c r="AY52" s="73">
        <f t="shared" si="219"/>
        <v>0</v>
      </c>
      <c r="AZ52" s="73">
        <f t="shared" si="219"/>
        <v>0</v>
      </c>
      <c r="BA52" s="73">
        <f t="shared" si="219"/>
        <v>0</v>
      </c>
      <c r="BB52" s="73">
        <f t="shared" si="219"/>
        <v>0</v>
      </c>
      <c r="BC52" s="73">
        <f t="shared" si="219"/>
        <v>0</v>
      </c>
      <c r="BD52" s="73">
        <f t="shared" si="219"/>
        <v>0</v>
      </c>
      <c r="BE52" s="73">
        <f t="shared" si="219"/>
        <v>0</v>
      </c>
      <c r="BF52" s="73">
        <f t="shared" si="219"/>
        <v>0</v>
      </c>
      <c r="BG52" s="73">
        <f t="shared" si="219"/>
        <v>0</v>
      </c>
      <c r="BH52" s="73">
        <f t="shared" si="219"/>
        <v>0</v>
      </c>
      <c r="BI52" s="73">
        <f t="shared" si="219"/>
        <v>0</v>
      </c>
      <c r="BJ52" s="73">
        <f t="shared" si="219"/>
        <v>0</v>
      </c>
      <c r="BK52" s="73">
        <f t="shared" si="219"/>
        <v>0</v>
      </c>
      <c r="BL52" s="73">
        <f t="shared" si="219"/>
        <v>0</v>
      </c>
      <c r="BM52" s="73">
        <f t="shared" si="219"/>
        <v>0</v>
      </c>
      <c r="BN52" s="73">
        <f t="shared" si="219"/>
        <v>0</v>
      </c>
      <c r="BO52" s="73">
        <f t="shared" si="219"/>
        <v>0</v>
      </c>
      <c r="BP52" s="73">
        <f t="shared" ref="BP52:EA55" si="220">IF(OR($B5="",$B5=0),"",$P5*BP16*BO40)</f>
        <v>0</v>
      </c>
      <c r="BQ52" s="73">
        <f t="shared" si="220"/>
        <v>0</v>
      </c>
      <c r="BR52" s="73">
        <f t="shared" si="220"/>
        <v>0</v>
      </c>
      <c r="BS52" s="73">
        <f t="shared" si="220"/>
        <v>0</v>
      </c>
      <c r="BT52" s="73">
        <f t="shared" si="220"/>
        <v>0</v>
      </c>
      <c r="BU52" s="73">
        <f t="shared" si="220"/>
        <v>0</v>
      </c>
      <c r="BV52" s="73">
        <f t="shared" si="220"/>
        <v>0</v>
      </c>
      <c r="BW52" s="73">
        <f t="shared" si="220"/>
        <v>0</v>
      </c>
      <c r="BX52" s="73">
        <f t="shared" si="220"/>
        <v>0</v>
      </c>
      <c r="BY52" s="73">
        <f t="shared" si="220"/>
        <v>0</v>
      </c>
      <c r="BZ52" s="73">
        <f t="shared" si="220"/>
        <v>0</v>
      </c>
      <c r="CA52" s="73">
        <f t="shared" si="220"/>
        <v>0</v>
      </c>
      <c r="CB52" s="73">
        <f t="shared" si="220"/>
        <v>0</v>
      </c>
      <c r="CC52" s="73">
        <f t="shared" si="220"/>
        <v>0</v>
      </c>
      <c r="CD52" s="73">
        <f t="shared" si="220"/>
        <v>0</v>
      </c>
      <c r="CE52" s="73">
        <f t="shared" si="220"/>
        <v>0</v>
      </c>
      <c r="CF52" s="73">
        <f t="shared" si="220"/>
        <v>0</v>
      </c>
      <c r="CG52" s="73">
        <f t="shared" si="220"/>
        <v>0</v>
      </c>
      <c r="CH52" s="73">
        <f t="shared" si="220"/>
        <v>0</v>
      </c>
      <c r="CI52" s="73">
        <f t="shared" si="220"/>
        <v>0</v>
      </c>
      <c r="CJ52" s="73">
        <f t="shared" si="220"/>
        <v>0</v>
      </c>
      <c r="CK52" s="73">
        <f t="shared" si="220"/>
        <v>0</v>
      </c>
      <c r="CL52" s="73">
        <f t="shared" si="220"/>
        <v>0</v>
      </c>
      <c r="CM52" s="73">
        <f t="shared" si="220"/>
        <v>0</v>
      </c>
      <c r="CN52" s="73">
        <f t="shared" si="220"/>
        <v>0</v>
      </c>
      <c r="CO52" s="73">
        <f t="shared" si="220"/>
        <v>0</v>
      </c>
      <c r="CP52" s="73">
        <f t="shared" si="220"/>
        <v>0</v>
      </c>
      <c r="CQ52" s="73">
        <f t="shared" si="220"/>
        <v>0</v>
      </c>
      <c r="CR52" s="73">
        <f t="shared" si="220"/>
        <v>0</v>
      </c>
      <c r="CS52" s="73">
        <f t="shared" si="220"/>
        <v>0</v>
      </c>
      <c r="CT52" s="73">
        <f t="shared" si="220"/>
        <v>0</v>
      </c>
      <c r="CU52" s="73">
        <f t="shared" si="220"/>
        <v>0</v>
      </c>
      <c r="CV52" s="73">
        <f t="shared" si="220"/>
        <v>0</v>
      </c>
      <c r="CW52" s="73">
        <f t="shared" si="220"/>
        <v>0</v>
      </c>
      <c r="CX52" s="73">
        <f t="shared" si="220"/>
        <v>0</v>
      </c>
      <c r="CY52" s="73">
        <f t="shared" si="220"/>
        <v>0</v>
      </c>
      <c r="CZ52" s="73">
        <f t="shared" si="220"/>
        <v>0</v>
      </c>
      <c r="DA52" s="73">
        <f t="shared" si="220"/>
        <v>0</v>
      </c>
      <c r="DB52" s="73">
        <f t="shared" si="220"/>
        <v>0</v>
      </c>
      <c r="DC52" s="73">
        <f t="shared" si="220"/>
        <v>0</v>
      </c>
      <c r="DD52" s="73">
        <f t="shared" si="220"/>
        <v>0</v>
      </c>
      <c r="DE52" s="73">
        <f t="shared" si="220"/>
        <v>0</v>
      </c>
      <c r="DF52" s="73">
        <f t="shared" si="220"/>
        <v>0</v>
      </c>
      <c r="DG52" s="73">
        <f t="shared" si="220"/>
        <v>0</v>
      </c>
      <c r="DH52" s="73">
        <f t="shared" si="220"/>
        <v>0</v>
      </c>
      <c r="DI52" s="73">
        <f t="shared" si="220"/>
        <v>0</v>
      </c>
      <c r="DJ52" s="73">
        <f t="shared" si="220"/>
        <v>0</v>
      </c>
      <c r="DK52" s="73">
        <f t="shared" si="220"/>
        <v>0</v>
      </c>
      <c r="DL52" s="73">
        <f t="shared" si="220"/>
        <v>0</v>
      </c>
      <c r="DM52" s="73">
        <f t="shared" si="220"/>
        <v>0</v>
      </c>
      <c r="DN52" s="73">
        <f t="shared" si="220"/>
        <v>0</v>
      </c>
      <c r="DO52" s="73">
        <f t="shared" si="220"/>
        <v>0</v>
      </c>
      <c r="DP52" s="73">
        <f t="shared" si="220"/>
        <v>0</v>
      </c>
      <c r="DQ52" s="73">
        <f t="shared" si="220"/>
        <v>0</v>
      </c>
      <c r="DR52" s="73">
        <f t="shared" si="220"/>
        <v>0</v>
      </c>
      <c r="DS52" s="73">
        <f t="shared" si="220"/>
        <v>0</v>
      </c>
      <c r="DT52" s="73">
        <f t="shared" si="220"/>
        <v>0</v>
      </c>
      <c r="DU52" s="73">
        <f t="shared" si="220"/>
        <v>0</v>
      </c>
      <c r="DV52" s="73">
        <f t="shared" si="220"/>
        <v>0</v>
      </c>
      <c r="DW52" s="73">
        <f t="shared" si="220"/>
        <v>0</v>
      </c>
      <c r="DX52" s="73">
        <f t="shared" si="220"/>
        <v>0</v>
      </c>
      <c r="DY52" s="73">
        <f t="shared" si="220"/>
        <v>0</v>
      </c>
      <c r="DZ52" s="73">
        <f t="shared" si="220"/>
        <v>0</v>
      </c>
      <c r="EA52" s="73">
        <f t="shared" si="220"/>
        <v>0</v>
      </c>
      <c r="EB52" s="73">
        <f t="shared" ref="EB52:FZ54" si="221">IF(OR($B5="",$B5=0),"",$P5*EB16*EA40)</f>
        <v>0</v>
      </c>
      <c r="EC52" s="73">
        <f t="shared" si="221"/>
        <v>0</v>
      </c>
      <c r="ED52" s="73">
        <f t="shared" si="221"/>
        <v>0</v>
      </c>
      <c r="EE52" s="73">
        <f t="shared" si="221"/>
        <v>0</v>
      </c>
      <c r="EF52" s="73">
        <f t="shared" si="221"/>
        <v>0</v>
      </c>
      <c r="EG52" s="73">
        <f t="shared" si="221"/>
        <v>0</v>
      </c>
      <c r="EH52" s="73">
        <f t="shared" si="221"/>
        <v>0</v>
      </c>
      <c r="EI52" s="73">
        <f t="shared" si="221"/>
        <v>0</v>
      </c>
      <c r="EJ52" s="73">
        <f t="shared" si="221"/>
        <v>0</v>
      </c>
      <c r="EK52" s="73">
        <f t="shared" si="221"/>
        <v>0</v>
      </c>
      <c r="EL52" s="73">
        <f t="shared" si="221"/>
        <v>0</v>
      </c>
      <c r="EM52" s="73">
        <f t="shared" si="221"/>
        <v>0</v>
      </c>
      <c r="EN52" s="73">
        <f t="shared" si="221"/>
        <v>0</v>
      </c>
      <c r="EO52" s="73">
        <f t="shared" si="221"/>
        <v>0</v>
      </c>
      <c r="EP52" s="73">
        <f t="shared" si="221"/>
        <v>0</v>
      </c>
      <c r="EQ52" s="73">
        <f t="shared" si="221"/>
        <v>0</v>
      </c>
      <c r="ER52" s="73">
        <f t="shared" si="221"/>
        <v>0</v>
      </c>
      <c r="ES52" s="73">
        <f t="shared" si="221"/>
        <v>0</v>
      </c>
      <c r="ET52" s="73">
        <f t="shared" si="221"/>
        <v>0</v>
      </c>
      <c r="EU52" s="73">
        <f t="shared" si="221"/>
        <v>0</v>
      </c>
      <c r="EV52" s="73">
        <f t="shared" si="221"/>
        <v>0</v>
      </c>
      <c r="EW52" s="73">
        <f t="shared" si="221"/>
        <v>0</v>
      </c>
      <c r="EX52" s="73">
        <f t="shared" si="221"/>
        <v>0</v>
      </c>
      <c r="EY52" s="73">
        <f t="shared" si="221"/>
        <v>0</v>
      </c>
      <c r="EZ52" s="73">
        <f t="shared" si="221"/>
        <v>0</v>
      </c>
      <c r="FA52" s="73">
        <f t="shared" si="221"/>
        <v>0</v>
      </c>
      <c r="FB52" s="73">
        <f t="shared" si="221"/>
        <v>0</v>
      </c>
      <c r="FC52" s="73">
        <f t="shared" si="221"/>
        <v>0</v>
      </c>
      <c r="FD52" s="73">
        <f t="shared" si="221"/>
        <v>0</v>
      </c>
      <c r="FE52" s="73">
        <f t="shared" si="221"/>
        <v>0</v>
      </c>
      <c r="FF52" s="73">
        <f t="shared" si="221"/>
        <v>0</v>
      </c>
      <c r="FG52" s="73">
        <f t="shared" si="221"/>
        <v>0</v>
      </c>
      <c r="FH52" s="73">
        <f t="shared" si="221"/>
        <v>0</v>
      </c>
      <c r="FI52" s="73">
        <f t="shared" si="221"/>
        <v>0</v>
      </c>
      <c r="FJ52" s="73">
        <f t="shared" si="221"/>
        <v>0</v>
      </c>
      <c r="FK52" s="73">
        <f t="shared" si="221"/>
        <v>0</v>
      </c>
      <c r="FL52" s="73">
        <f t="shared" si="221"/>
        <v>0</v>
      </c>
      <c r="FM52" s="73">
        <f t="shared" si="221"/>
        <v>0</v>
      </c>
      <c r="FN52" s="73">
        <f t="shared" si="221"/>
        <v>0</v>
      </c>
      <c r="FO52" s="73">
        <f t="shared" si="221"/>
        <v>0</v>
      </c>
      <c r="FP52" s="73">
        <f t="shared" si="221"/>
        <v>0</v>
      </c>
      <c r="FQ52" s="73">
        <f t="shared" si="221"/>
        <v>0</v>
      </c>
      <c r="FR52" s="73">
        <f t="shared" si="221"/>
        <v>0</v>
      </c>
      <c r="FS52" s="73">
        <f t="shared" si="221"/>
        <v>0</v>
      </c>
      <c r="FT52" s="73">
        <f t="shared" si="221"/>
        <v>0</v>
      </c>
      <c r="FU52" s="73">
        <f t="shared" si="221"/>
        <v>0</v>
      </c>
      <c r="FV52" s="73">
        <f t="shared" si="221"/>
        <v>0</v>
      </c>
      <c r="FW52" s="73">
        <f t="shared" si="221"/>
        <v>0</v>
      </c>
      <c r="FX52" s="73">
        <f t="shared" si="221"/>
        <v>0</v>
      </c>
      <c r="FY52" s="73">
        <f t="shared" si="221"/>
        <v>0</v>
      </c>
      <c r="FZ52" s="86">
        <f t="shared" si="221"/>
        <v>0</v>
      </c>
    </row>
    <row r="53" spans="2:182" x14ac:dyDescent="0.2">
      <c r="B53" s="85"/>
      <c r="C53" s="73">
        <f t="shared" ref="C53:R56" si="222">IF(OR($B6="",$B6=0),"",$P6*C17*B41)</f>
        <v>0</v>
      </c>
      <c r="D53" s="73">
        <f t="shared" si="222"/>
        <v>0</v>
      </c>
      <c r="E53" s="73">
        <f t="shared" si="222"/>
        <v>0</v>
      </c>
      <c r="F53" s="73">
        <f t="shared" si="222"/>
        <v>0</v>
      </c>
      <c r="G53" s="73">
        <f t="shared" si="222"/>
        <v>0</v>
      </c>
      <c r="H53" s="73">
        <f t="shared" si="222"/>
        <v>0</v>
      </c>
      <c r="I53" s="73">
        <f t="shared" si="222"/>
        <v>0</v>
      </c>
      <c r="J53" s="73">
        <f t="shared" si="222"/>
        <v>0</v>
      </c>
      <c r="K53" s="73">
        <f t="shared" si="222"/>
        <v>0</v>
      </c>
      <c r="L53" s="73">
        <f t="shared" si="222"/>
        <v>0</v>
      </c>
      <c r="M53" s="73">
        <f t="shared" si="222"/>
        <v>0</v>
      </c>
      <c r="N53" s="73">
        <f t="shared" si="222"/>
        <v>0</v>
      </c>
      <c r="O53" s="73">
        <f t="shared" si="222"/>
        <v>0</v>
      </c>
      <c r="P53" s="73">
        <f t="shared" si="222"/>
        <v>0</v>
      </c>
      <c r="Q53" s="73">
        <f t="shared" si="222"/>
        <v>0</v>
      </c>
      <c r="R53" s="73">
        <f t="shared" si="222"/>
        <v>0</v>
      </c>
      <c r="S53" s="73">
        <f t="shared" si="219"/>
        <v>0</v>
      </c>
      <c r="T53" s="73">
        <f t="shared" si="219"/>
        <v>0</v>
      </c>
      <c r="U53" s="73">
        <f t="shared" si="219"/>
        <v>0</v>
      </c>
      <c r="V53" s="73">
        <f t="shared" si="219"/>
        <v>0</v>
      </c>
      <c r="W53" s="73">
        <f t="shared" si="219"/>
        <v>0</v>
      </c>
      <c r="X53" s="73">
        <f t="shared" si="219"/>
        <v>0</v>
      </c>
      <c r="Y53" s="73">
        <f t="shared" si="219"/>
        <v>0</v>
      </c>
      <c r="Z53" s="73">
        <f t="shared" si="219"/>
        <v>0</v>
      </c>
      <c r="AA53" s="73">
        <f t="shared" si="219"/>
        <v>0</v>
      </c>
      <c r="AB53" s="73">
        <f t="shared" si="219"/>
        <v>0</v>
      </c>
      <c r="AC53" s="73">
        <f t="shared" si="219"/>
        <v>0</v>
      </c>
      <c r="AD53" s="73">
        <f t="shared" si="219"/>
        <v>0</v>
      </c>
      <c r="AE53" s="73">
        <f t="shared" si="219"/>
        <v>0</v>
      </c>
      <c r="AF53" s="73">
        <f t="shared" si="219"/>
        <v>0</v>
      </c>
      <c r="AG53" s="73">
        <f t="shared" si="219"/>
        <v>0</v>
      </c>
      <c r="AH53" s="73">
        <f t="shared" si="219"/>
        <v>0</v>
      </c>
      <c r="AI53" s="73">
        <f t="shared" si="219"/>
        <v>0</v>
      </c>
      <c r="AJ53" s="73">
        <f t="shared" si="219"/>
        <v>0</v>
      </c>
      <c r="AK53" s="73">
        <f t="shared" si="219"/>
        <v>0</v>
      </c>
      <c r="AL53" s="73">
        <f t="shared" si="219"/>
        <v>0</v>
      </c>
      <c r="AM53" s="73">
        <f t="shared" si="219"/>
        <v>0</v>
      </c>
      <c r="AN53" s="73">
        <f t="shared" si="219"/>
        <v>0</v>
      </c>
      <c r="AO53" s="73">
        <f t="shared" si="219"/>
        <v>0</v>
      </c>
      <c r="AP53" s="73">
        <f t="shared" si="219"/>
        <v>0</v>
      </c>
      <c r="AQ53" s="73">
        <f t="shared" si="219"/>
        <v>0</v>
      </c>
      <c r="AR53" s="73">
        <f t="shared" si="219"/>
        <v>0</v>
      </c>
      <c r="AS53" s="73">
        <f t="shared" si="219"/>
        <v>0</v>
      </c>
      <c r="AT53" s="73">
        <f t="shared" si="219"/>
        <v>0</v>
      </c>
      <c r="AU53" s="73">
        <f t="shared" si="219"/>
        <v>0</v>
      </c>
      <c r="AV53" s="73">
        <f t="shared" si="219"/>
        <v>0</v>
      </c>
      <c r="AW53" s="73">
        <f t="shared" si="219"/>
        <v>0</v>
      </c>
      <c r="AX53" s="73">
        <f t="shared" si="219"/>
        <v>0</v>
      </c>
      <c r="AY53" s="73">
        <f t="shared" si="219"/>
        <v>0</v>
      </c>
      <c r="AZ53" s="73">
        <f t="shared" si="219"/>
        <v>0</v>
      </c>
      <c r="BA53" s="73">
        <f t="shared" si="219"/>
        <v>0</v>
      </c>
      <c r="BB53" s="73">
        <f t="shared" si="219"/>
        <v>0</v>
      </c>
      <c r="BC53" s="73">
        <f t="shared" si="219"/>
        <v>0</v>
      </c>
      <c r="BD53" s="73">
        <f t="shared" si="219"/>
        <v>0</v>
      </c>
      <c r="BE53" s="73">
        <f t="shared" si="219"/>
        <v>0</v>
      </c>
      <c r="BF53" s="73">
        <f t="shared" si="219"/>
        <v>0</v>
      </c>
      <c r="BG53" s="73">
        <f t="shared" si="219"/>
        <v>0</v>
      </c>
      <c r="BH53" s="73">
        <f t="shared" si="219"/>
        <v>0</v>
      </c>
      <c r="BI53" s="73">
        <f t="shared" si="219"/>
        <v>0</v>
      </c>
      <c r="BJ53" s="73">
        <f t="shared" si="219"/>
        <v>0</v>
      </c>
      <c r="BK53" s="73">
        <f t="shared" si="219"/>
        <v>0</v>
      </c>
      <c r="BL53" s="73">
        <f t="shared" si="219"/>
        <v>0</v>
      </c>
      <c r="BM53" s="73">
        <f t="shared" si="219"/>
        <v>0</v>
      </c>
      <c r="BN53" s="73">
        <f t="shared" si="219"/>
        <v>0</v>
      </c>
      <c r="BO53" s="73">
        <f t="shared" si="219"/>
        <v>0</v>
      </c>
      <c r="BP53" s="73">
        <f t="shared" si="220"/>
        <v>0</v>
      </c>
      <c r="BQ53" s="73">
        <f t="shared" si="220"/>
        <v>0</v>
      </c>
      <c r="BR53" s="73">
        <f t="shared" si="220"/>
        <v>0</v>
      </c>
      <c r="BS53" s="73">
        <f t="shared" si="220"/>
        <v>0</v>
      </c>
      <c r="BT53" s="73">
        <f t="shared" si="220"/>
        <v>0</v>
      </c>
      <c r="BU53" s="73">
        <f t="shared" si="220"/>
        <v>0</v>
      </c>
      <c r="BV53" s="73">
        <f t="shared" si="220"/>
        <v>0</v>
      </c>
      <c r="BW53" s="73">
        <f t="shared" si="220"/>
        <v>0</v>
      </c>
      <c r="BX53" s="73">
        <f t="shared" si="220"/>
        <v>0</v>
      </c>
      <c r="BY53" s="73">
        <f t="shared" si="220"/>
        <v>0</v>
      </c>
      <c r="BZ53" s="73">
        <f t="shared" si="220"/>
        <v>0</v>
      </c>
      <c r="CA53" s="73">
        <f t="shared" si="220"/>
        <v>0</v>
      </c>
      <c r="CB53" s="73">
        <f t="shared" si="220"/>
        <v>0</v>
      </c>
      <c r="CC53" s="73">
        <f t="shared" si="220"/>
        <v>0</v>
      </c>
      <c r="CD53" s="73">
        <f t="shared" si="220"/>
        <v>0</v>
      </c>
      <c r="CE53" s="73">
        <f t="shared" si="220"/>
        <v>0</v>
      </c>
      <c r="CF53" s="73">
        <f t="shared" si="220"/>
        <v>0</v>
      </c>
      <c r="CG53" s="73">
        <f t="shared" si="220"/>
        <v>0</v>
      </c>
      <c r="CH53" s="73">
        <f t="shared" si="220"/>
        <v>0</v>
      </c>
      <c r="CI53" s="73">
        <f t="shared" si="220"/>
        <v>0</v>
      </c>
      <c r="CJ53" s="73">
        <f t="shared" si="220"/>
        <v>0</v>
      </c>
      <c r="CK53" s="73">
        <f t="shared" si="220"/>
        <v>0</v>
      </c>
      <c r="CL53" s="73">
        <f t="shared" si="220"/>
        <v>0</v>
      </c>
      <c r="CM53" s="73">
        <f t="shared" si="220"/>
        <v>0</v>
      </c>
      <c r="CN53" s="73">
        <f t="shared" si="220"/>
        <v>0</v>
      </c>
      <c r="CO53" s="73">
        <f t="shared" si="220"/>
        <v>0</v>
      </c>
      <c r="CP53" s="73">
        <f t="shared" si="220"/>
        <v>0</v>
      </c>
      <c r="CQ53" s="73">
        <f t="shared" si="220"/>
        <v>0</v>
      </c>
      <c r="CR53" s="73">
        <f t="shared" si="220"/>
        <v>0</v>
      </c>
      <c r="CS53" s="73">
        <f t="shared" si="220"/>
        <v>0</v>
      </c>
      <c r="CT53" s="73">
        <f t="shared" si="220"/>
        <v>0</v>
      </c>
      <c r="CU53" s="73">
        <f t="shared" si="220"/>
        <v>0</v>
      </c>
      <c r="CV53" s="73">
        <f t="shared" si="220"/>
        <v>0</v>
      </c>
      <c r="CW53" s="73">
        <f t="shared" si="220"/>
        <v>0</v>
      </c>
      <c r="CX53" s="73">
        <f t="shared" si="220"/>
        <v>0</v>
      </c>
      <c r="CY53" s="73">
        <f t="shared" si="220"/>
        <v>0</v>
      </c>
      <c r="CZ53" s="73">
        <f t="shared" si="220"/>
        <v>0</v>
      </c>
      <c r="DA53" s="73">
        <f t="shared" si="220"/>
        <v>0</v>
      </c>
      <c r="DB53" s="73">
        <f t="shared" si="220"/>
        <v>0</v>
      </c>
      <c r="DC53" s="73">
        <f t="shared" si="220"/>
        <v>0</v>
      </c>
      <c r="DD53" s="73">
        <f t="shared" si="220"/>
        <v>0</v>
      </c>
      <c r="DE53" s="73">
        <f t="shared" si="220"/>
        <v>0</v>
      </c>
      <c r="DF53" s="73">
        <f t="shared" si="220"/>
        <v>0</v>
      </c>
      <c r="DG53" s="73">
        <f t="shared" si="220"/>
        <v>0</v>
      </c>
      <c r="DH53" s="73">
        <f t="shared" si="220"/>
        <v>0</v>
      </c>
      <c r="DI53" s="73">
        <f t="shared" si="220"/>
        <v>0</v>
      </c>
      <c r="DJ53" s="73">
        <f t="shared" si="220"/>
        <v>0</v>
      </c>
      <c r="DK53" s="73">
        <f t="shared" si="220"/>
        <v>0</v>
      </c>
      <c r="DL53" s="73">
        <f t="shared" si="220"/>
        <v>0</v>
      </c>
      <c r="DM53" s="73">
        <f t="shared" si="220"/>
        <v>0</v>
      </c>
      <c r="DN53" s="73">
        <f t="shared" si="220"/>
        <v>0</v>
      </c>
      <c r="DO53" s="73">
        <f t="shared" si="220"/>
        <v>0</v>
      </c>
      <c r="DP53" s="73">
        <f t="shared" si="220"/>
        <v>0</v>
      </c>
      <c r="DQ53" s="73">
        <f t="shared" si="220"/>
        <v>0</v>
      </c>
      <c r="DR53" s="73">
        <f t="shared" si="220"/>
        <v>0</v>
      </c>
      <c r="DS53" s="73">
        <f t="shared" si="220"/>
        <v>0</v>
      </c>
      <c r="DT53" s="73">
        <f t="shared" si="220"/>
        <v>0</v>
      </c>
      <c r="DU53" s="73">
        <f t="shared" si="220"/>
        <v>0</v>
      </c>
      <c r="DV53" s="73">
        <f t="shared" si="220"/>
        <v>0</v>
      </c>
      <c r="DW53" s="73">
        <f t="shared" si="220"/>
        <v>0</v>
      </c>
      <c r="DX53" s="73">
        <f t="shared" si="220"/>
        <v>0</v>
      </c>
      <c r="DY53" s="73">
        <f t="shared" si="220"/>
        <v>0</v>
      </c>
      <c r="DZ53" s="73">
        <f t="shared" si="220"/>
        <v>0</v>
      </c>
      <c r="EA53" s="73">
        <f t="shared" si="220"/>
        <v>0</v>
      </c>
      <c r="EB53" s="73">
        <f t="shared" si="221"/>
        <v>0</v>
      </c>
      <c r="EC53" s="73">
        <f t="shared" si="221"/>
        <v>0</v>
      </c>
      <c r="ED53" s="73">
        <f t="shared" si="221"/>
        <v>0</v>
      </c>
      <c r="EE53" s="73">
        <f t="shared" si="221"/>
        <v>0</v>
      </c>
      <c r="EF53" s="73">
        <f t="shared" si="221"/>
        <v>0</v>
      </c>
      <c r="EG53" s="73">
        <f t="shared" si="221"/>
        <v>0</v>
      </c>
      <c r="EH53" s="73">
        <f t="shared" si="221"/>
        <v>0</v>
      </c>
      <c r="EI53" s="73">
        <f t="shared" si="221"/>
        <v>0</v>
      </c>
      <c r="EJ53" s="73">
        <f t="shared" si="221"/>
        <v>0</v>
      </c>
      <c r="EK53" s="73">
        <f t="shared" si="221"/>
        <v>0</v>
      </c>
      <c r="EL53" s="73">
        <f t="shared" si="221"/>
        <v>0</v>
      </c>
      <c r="EM53" s="73">
        <f t="shared" si="221"/>
        <v>0</v>
      </c>
      <c r="EN53" s="73">
        <f t="shared" si="221"/>
        <v>0</v>
      </c>
      <c r="EO53" s="73">
        <f t="shared" si="221"/>
        <v>0</v>
      </c>
      <c r="EP53" s="73">
        <f t="shared" si="221"/>
        <v>0</v>
      </c>
      <c r="EQ53" s="73">
        <f t="shared" si="221"/>
        <v>0</v>
      </c>
      <c r="ER53" s="73">
        <f t="shared" si="221"/>
        <v>0</v>
      </c>
      <c r="ES53" s="73">
        <f t="shared" si="221"/>
        <v>0</v>
      </c>
      <c r="ET53" s="73">
        <f t="shared" si="221"/>
        <v>0</v>
      </c>
      <c r="EU53" s="73">
        <f t="shared" si="221"/>
        <v>0</v>
      </c>
      <c r="EV53" s="73">
        <f t="shared" si="221"/>
        <v>0</v>
      </c>
      <c r="EW53" s="73">
        <f t="shared" si="221"/>
        <v>0</v>
      </c>
      <c r="EX53" s="73">
        <f t="shared" si="221"/>
        <v>0</v>
      </c>
      <c r="EY53" s="73">
        <f t="shared" si="221"/>
        <v>0</v>
      </c>
      <c r="EZ53" s="73">
        <f t="shared" si="221"/>
        <v>0</v>
      </c>
      <c r="FA53" s="73">
        <f t="shared" si="221"/>
        <v>0</v>
      </c>
      <c r="FB53" s="73">
        <f t="shared" si="221"/>
        <v>0</v>
      </c>
      <c r="FC53" s="73">
        <f t="shared" si="221"/>
        <v>0</v>
      </c>
      <c r="FD53" s="73">
        <f t="shared" si="221"/>
        <v>0</v>
      </c>
      <c r="FE53" s="73">
        <f t="shared" si="221"/>
        <v>0</v>
      </c>
      <c r="FF53" s="73">
        <f t="shared" si="221"/>
        <v>0</v>
      </c>
      <c r="FG53" s="73">
        <f t="shared" si="221"/>
        <v>0</v>
      </c>
      <c r="FH53" s="73">
        <f t="shared" si="221"/>
        <v>0</v>
      </c>
      <c r="FI53" s="73">
        <f t="shared" si="221"/>
        <v>0</v>
      </c>
      <c r="FJ53" s="73">
        <f t="shared" si="221"/>
        <v>0</v>
      </c>
      <c r="FK53" s="73">
        <f t="shared" si="221"/>
        <v>0</v>
      </c>
      <c r="FL53" s="73">
        <f t="shared" si="221"/>
        <v>0</v>
      </c>
      <c r="FM53" s="73">
        <f t="shared" si="221"/>
        <v>0</v>
      </c>
      <c r="FN53" s="73">
        <f t="shared" si="221"/>
        <v>0</v>
      </c>
      <c r="FO53" s="73">
        <f t="shared" si="221"/>
        <v>0</v>
      </c>
      <c r="FP53" s="73">
        <f t="shared" si="221"/>
        <v>0</v>
      </c>
      <c r="FQ53" s="73">
        <f t="shared" si="221"/>
        <v>0</v>
      </c>
      <c r="FR53" s="73">
        <f t="shared" si="221"/>
        <v>0</v>
      </c>
      <c r="FS53" s="73">
        <f t="shared" si="221"/>
        <v>0</v>
      </c>
      <c r="FT53" s="73">
        <f t="shared" si="221"/>
        <v>0</v>
      </c>
      <c r="FU53" s="73">
        <f t="shared" si="221"/>
        <v>0</v>
      </c>
      <c r="FV53" s="73">
        <f t="shared" si="221"/>
        <v>0</v>
      </c>
      <c r="FW53" s="73">
        <f t="shared" si="221"/>
        <v>0</v>
      </c>
      <c r="FX53" s="73">
        <f t="shared" si="221"/>
        <v>0</v>
      </c>
      <c r="FY53" s="73">
        <f t="shared" si="221"/>
        <v>0</v>
      </c>
      <c r="FZ53" s="86">
        <f t="shared" si="221"/>
        <v>0</v>
      </c>
    </row>
    <row r="54" spans="2:182" x14ac:dyDescent="0.2">
      <c r="B54" s="85"/>
      <c r="C54" s="73">
        <f t="shared" si="222"/>
        <v>0</v>
      </c>
      <c r="D54" s="73">
        <f t="shared" ref="D54:BO56" si="223">IF(OR($B7="",$B7=0),"",$P7*D18*C42)</f>
        <v>0</v>
      </c>
      <c r="E54" s="73">
        <f t="shared" si="223"/>
        <v>0</v>
      </c>
      <c r="F54" s="73">
        <f t="shared" si="223"/>
        <v>0</v>
      </c>
      <c r="G54" s="73">
        <f t="shared" si="223"/>
        <v>0</v>
      </c>
      <c r="H54" s="73">
        <f t="shared" si="223"/>
        <v>0</v>
      </c>
      <c r="I54" s="73">
        <f t="shared" si="223"/>
        <v>0</v>
      </c>
      <c r="J54" s="73">
        <f t="shared" si="223"/>
        <v>0</v>
      </c>
      <c r="K54" s="73">
        <f t="shared" si="223"/>
        <v>0</v>
      </c>
      <c r="L54" s="73">
        <f t="shared" si="223"/>
        <v>0</v>
      </c>
      <c r="M54" s="73">
        <f t="shared" si="223"/>
        <v>0</v>
      </c>
      <c r="N54" s="73">
        <f t="shared" si="223"/>
        <v>0</v>
      </c>
      <c r="O54" s="73">
        <f t="shared" si="223"/>
        <v>0</v>
      </c>
      <c r="P54" s="73">
        <f t="shared" si="223"/>
        <v>0</v>
      </c>
      <c r="Q54" s="73">
        <f t="shared" si="223"/>
        <v>0</v>
      </c>
      <c r="R54" s="73">
        <f t="shared" si="223"/>
        <v>0</v>
      </c>
      <c r="S54" s="73">
        <f t="shared" si="223"/>
        <v>0</v>
      </c>
      <c r="T54" s="73">
        <f t="shared" si="223"/>
        <v>0</v>
      </c>
      <c r="U54" s="73">
        <f t="shared" si="223"/>
        <v>0</v>
      </c>
      <c r="V54" s="73">
        <f t="shared" si="223"/>
        <v>0</v>
      </c>
      <c r="W54" s="73">
        <f t="shared" si="223"/>
        <v>0</v>
      </c>
      <c r="X54" s="73">
        <f t="shared" si="223"/>
        <v>0</v>
      </c>
      <c r="Y54" s="73">
        <f t="shared" si="223"/>
        <v>0</v>
      </c>
      <c r="Z54" s="73">
        <f t="shared" si="223"/>
        <v>0</v>
      </c>
      <c r="AA54" s="73">
        <f t="shared" si="223"/>
        <v>0</v>
      </c>
      <c r="AB54" s="73">
        <f t="shared" si="223"/>
        <v>0</v>
      </c>
      <c r="AC54" s="73">
        <f t="shared" si="223"/>
        <v>0</v>
      </c>
      <c r="AD54" s="73">
        <f t="shared" si="223"/>
        <v>0</v>
      </c>
      <c r="AE54" s="73">
        <f t="shared" si="223"/>
        <v>0</v>
      </c>
      <c r="AF54" s="73">
        <f t="shared" si="223"/>
        <v>0</v>
      </c>
      <c r="AG54" s="73">
        <f t="shared" si="223"/>
        <v>0</v>
      </c>
      <c r="AH54" s="73">
        <f t="shared" si="223"/>
        <v>0</v>
      </c>
      <c r="AI54" s="73">
        <f t="shared" si="223"/>
        <v>0</v>
      </c>
      <c r="AJ54" s="73">
        <f t="shared" si="223"/>
        <v>0</v>
      </c>
      <c r="AK54" s="73">
        <f t="shared" si="223"/>
        <v>0</v>
      </c>
      <c r="AL54" s="73">
        <f t="shared" si="223"/>
        <v>0</v>
      </c>
      <c r="AM54" s="73">
        <f t="shared" si="223"/>
        <v>0</v>
      </c>
      <c r="AN54" s="73">
        <f t="shared" si="223"/>
        <v>0</v>
      </c>
      <c r="AO54" s="73">
        <f t="shared" si="223"/>
        <v>0</v>
      </c>
      <c r="AP54" s="73">
        <f t="shared" si="223"/>
        <v>0</v>
      </c>
      <c r="AQ54" s="73">
        <f t="shared" si="223"/>
        <v>0</v>
      </c>
      <c r="AR54" s="73">
        <f t="shared" si="223"/>
        <v>0</v>
      </c>
      <c r="AS54" s="73">
        <f t="shared" si="223"/>
        <v>0</v>
      </c>
      <c r="AT54" s="73">
        <f t="shared" si="223"/>
        <v>0</v>
      </c>
      <c r="AU54" s="73">
        <f t="shared" si="223"/>
        <v>0</v>
      </c>
      <c r="AV54" s="73">
        <f t="shared" si="223"/>
        <v>0</v>
      </c>
      <c r="AW54" s="73">
        <f t="shared" si="223"/>
        <v>0</v>
      </c>
      <c r="AX54" s="73">
        <f t="shared" si="223"/>
        <v>0</v>
      </c>
      <c r="AY54" s="73">
        <f t="shared" si="223"/>
        <v>0</v>
      </c>
      <c r="AZ54" s="73">
        <f t="shared" si="223"/>
        <v>0</v>
      </c>
      <c r="BA54" s="73">
        <f t="shared" si="223"/>
        <v>0</v>
      </c>
      <c r="BB54" s="73">
        <f t="shared" si="223"/>
        <v>0</v>
      </c>
      <c r="BC54" s="73">
        <f t="shared" si="223"/>
        <v>0</v>
      </c>
      <c r="BD54" s="73">
        <f t="shared" si="223"/>
        <v>0</v>
      </c>
      <c r="BE54" s="73">
        <f t="shared" si="223"/>
        <v>0</v>
      </c>
      <c r="BF54" s="73">
        <f t="shared" si="223"/>
        <v>0</v>
      </c>
      <c r="BG54" s="73">
        <f t="shared" si="223"/>
        <v>0</v>
      </c>
      <c r="BH54" s="73">
        <f t="shared" si="223"/>
        <v>0</v>
      </c>
      <c r="BI54" s="73">
        <f t="shared" si="223"/>
        <v>0</v>
      </c>
      <c r="BJ54" s="73">
        <f t="shared" si="223"/>
        <v>0</v>
      </c>
      <c r="BK54" s="73">
        <f t="shared" si="223"/>
        <v>0</v>
      </c>
      <c r="BL54" s="73">
        <f t="shared" si="223"/>
        <v>0</v>
      </c>
      <c r="BM54" s="73">
        <f t="shared" si="223"/>
        <v>0</v>
      </c>
      <c r="BN54" s="73">
        <f t="shared" si="223"/>
        <v>0</v>
      </c>
      <c r="BO54" s="73">
        <f t="shared" si="223"/>
        <v>0</v>
      </c>
      <c r="BP54" s="73">
        <f t="shared" si="220"/>
        <v>0</v>
      </c>
      <c r="BQ54" s="73">
        <f t="shared" si="220"/>
        <v>0</v>
      </c>
      <c r="BR54" s="73">
        <f t="shared" si="220"/>
        <v>0</v>
      </c>
      <c r="BS54" s="73">
        <f t="shared" si="220"/>
        <v>0</v>
      </c>
      <c r="BT54" s="73">
        <f t="shared" si="220"/>
        <v>0</v>
      </c>
      <c r="BU54" s="73">
        <f t="shared" si="220"/>
        <v>0</v>
      </c>
      <c r="BV54" s="73">
        <f t="shared" si="220"/>
        <v>0</v>
      </c>
      <c r="BW54" s="73">
        <f t="shared" si="220"/>
        <v>0</v>
      </c>
      <c r="BX54" s="73">
        <f t="shared" si="220"/>
        <v>0</v>
      </c>
      <c r="BY54" s="73">
        <f t="shared" si="220"/>
        <v>0</v>
      </c>
      <c r="BZ54" s="73">
        <f t="shared" si="220"/>
        <v>0</v>
      </c>
      <c r="CA54" s="73">
        <f t="shared" si="220"/>
        <v>0</v>
      </c>
      <c r="CB54" s="73">
        <f t="shared" si="220"/>
        <v>0</v>
      </c>
      <c r="CC54" s="73">
        <f t="shared" si="220"/>
        <v>0</v>
      </c>
      <c r="CD54" s="73">
        <f t="shared" si="220"/>
        <v>0</v>
      </c>
      <c r="CE54" s="73">
        <f t="shared" si="220"/>
        <v>0</v>
      </c>
      <c r="CF54" s="73">
        <f t="shared" si="220"/>
        <v>0</v>
      </c>
      <c r="CG54" s="73">
        <f t="shared" si="220"/>
        <v>0</v>
      </c>
      <c r="CH54" s="73">
        <f t="shared" si="220"/>
        <v>0</v>
      </c>
      <c r="CI54" s="73">
        <f t="shared" si="220"/>
        <v>0</v>
      </c>
      <c r="CJ54" s="73">
        <f t="shared" si="220"/>
        <v>0</v>
      </c>
      <c r="CK54" s="73">
        <f t="shared" si="220"/>
        <v>0</v>
      </c>
      <c r="CL54" s="73">
        <f t="shared" si="220"/>
        <v>0</v>
      </c>
      <c r="CM54" s="73">
        <f t="shared" si="220"/>
        <v>0</v>
      </c>
      <c r="CN54" s="73">
        <f t="shared" si="220"/>
        <v>0</v>
      </c>
      <c r="CO54" s="73">
        <f t="shared" si="220"/>
        <v>0</v>
      </c>
      <c r="CP54" s="73">
        <f t="shared" si="220"/>
        <v>0</v>
      </c>
      <c r="CQ54" s="73">
        <f t="shared" si="220"/>
        <v>0</v>
      </c>
      <c r="CR54" s="73">
        <f t="shared" si="220"/>
        <v>0</v>
      </c>
      <c r="CS54" s="73">
        <f t="shared" si="220"/>
        <v>0</v>
      </c>
      <c r="CT54" s="73">
        <f t="shared" si="220"/>
        <v>0</v>
      </c>
      <c r="CU54" s="73">
        <f t="shared" si="220"/>
        <v>0</v>
      </c>
      <c r="CV54" s="73">
        <f t="shared" si="220"/>
        <v>0</v>
      </c>
      <c r="CW54" s="73">
        <f t="shared" si="220"/>
        <v>0</v>
      </c>
      <c r="CX54" s="73">
        <f t="shared" si="220"/>
        <v>0</v>
      </c>
      <c r="CY54" s="73">
        <f t="shared" si="220"/>
        <v>0</v>
      </c>
      <c r="CZ54" s="73">
        <f t="shared" si="220"/>
        <v>0</v>
      </c>
      <c r="DA54" s="73">
        <f t="shared" si="220"/>
        <v>0</v>
      </c>
      <c r="DB54" s="73">
        <f t="shared" si="220"/>
        <v>0</v>
      </c>
      <c r="DC54" s="73">
        <f t="shared" si="220"/>
        <v>0</v>
      </c>
      <c r="DD54" s="73">
        <f t="shared" si="220"/>
        <v>0</v>
      </c>
      <c r="DE54" s="73">
        <f t="shared" si="220"/>
        <v>0</v>
      </c>
      <c r="DF54" s="73">
        <f t="shared" si="220"/>
        <v>0</v>
      </c>
      <c r="DG54" s="73">
        <f t="shared" si="220"/>
        <v>0</v>
      </c>
      <c r="DH54" s="73">
        <f t="shared" si="220"/>
        <v>0</v>
      </c>
      <c r="DI54" s="73">
        <f t="shared" si="220"/>
        <v>0</v>
      </c>
      <c r="DJ54" s="73">
        <f t="shared" si="220"/>
        <v>0</v>
      </c>
      <c r="DK54" s="73">
        <f t="shared" si="220"/>
        <v>0</v>
      </c>
      <c r="DL54" s="73">
        <f t="shared" si="220"/>
        <v>0</v>
      </c>
      <c r="DM54" s="73">
        <f t="shared" si="220"/>
        <v>0</v>
      </c>
      <c r="DN54" s="73">
        <f t="shared" si="220"/>
        <v>0</v>
      </c>
      <c r="DO54" s="73">
        <f t="shared" si="220"/>
        <v>0</v>
      </c>
      <c r="DP54" s="73">
        <f t="shared" si="220"/>
        <v>0</v>
      </c>
      <c r="DQ54" s="73">
        <f t="shared" si="220"/>
        <v>0</v>
      </c>
      <c r="DR54" s="73">
        <f t="shared" si="220"/>
        <v>0</v>
      </c>
      <c r="DS54" s="73">
        <f t="shared" si="220"/>
        <v>0</v>
      </c>
      <c r="DT54" s="73">
        <f t="shared" si="220"/>
        <v>0</v>
      </c>
      <c r="DU54" s="73">
        <f t="shared" si="220"/>
        <v>0</v>
      </c>
      <c r="DV54" s="73">
        <f t="shared" si="220"/>
        <v>0</v>
      </c>
      <c r="DW54" s="73">
        <f t="shared" si="220"/>
        <v>0</v>
      </c>
      <c r="DX54" s="73">
        <f t="shared" si="220"/>
        <v>0</v>
      </c>
      <c r="DY54" s="73">
        <f t="shared" si="220"/>
        <v>0</v>
      </c>
      <c r="DZ54" s="73">
        <f t="shared" si="220"/>
        <v>0</v>
      </c>
      <c r="EA54" s="73">
        <f t="shared" si="220"/>
        <v>0</v>
      </c>
      <c r="EB54" s="73">
        <f t="shared" si="221"/>
        <v>0</v>
      </c>
      <c r="EC54" s="73">
        <f t="shared" si="221"/>
        <v>0</v>
      </c>
      <c r="ED54" s="73">
        <f t="shared" si="221"/>
        <v>0</v>
      </c>
      <c r="EE54" s="73">
        <f t="shared" si="221"/>
        <v>0</v>
      </c>
      <c r="EF54" s="73">
        <f t="shared" si="221"/>
        <v>0</v>
      </c>
      <c r="EG54" s="73">
        <f t="shared" si="221"/>
        <v>0</v>
      </c>
      <c r="EH54" s="73">
        <f t="shared" si="221"/>
        <v>0</v>
      </c>
      <c r="EI54" s="73">
        <f t="shared" si="221"/>
        <v>0</v>
      </c>
      <c r="EJ54" s="73">
        <f t="shared" si="221"/>
        <v>0</v>
      </c>
      <c r="EK54" s="73">
        <f t="shared" si="221"/>
        <v>0</v>
      </c>
      <c r="EL54" s="73">
        <f t="shared" si="221"/>
        <v>0</v>
      </c>
      <c r="EM54" s="73">
        <f t="shared" si="221"/>
        <v>0</v>
      </c>
      <c r="EN54" s="73">
        <f t="shared" si="221"/>
        <v>0</v>
      </c>
      <c r="EO54" s="73">
        <f t="shared" si="221"/>
        <v>0</v>
      </c>
      <c r="EP54" s="73">
        <f t="shared" si="221"/>
        <v>0</v>
      </c>
      <c r="EQ54" s="73">
        <f t="shared" si="221"/>
        <v>0</v>
      </c>
      <c r="ER54" s="73">
        <f t="shared" si="221"/>
        <v>0</v>
      </c>
      <c r="ES54" s="73">
        <f t="shared" si="221"/>
        <v>0</v>
      </c>
      <c r="ET54" s="73">
        <f t="shared" si="221"/>
        <v>0</v>
      </c>
      <c r="EU54" s="73">
        <f t="shared" si="221"/>
        <v>0</v>
      </c>
      <c r="EV54" s="73">
        <f t="shared" si="221"/>
        <v>0</v>
      </c>
      <c r="EW54" s="73">
        <f t="shared" si="221"/>
        <v>0</v>
      </c>
      <c r="EX54" s="73">
        <f t="shared" si="221"/>
        <v>0</v>
      </c>
      <c r="EY54" s="73">
        <f t="shared" si="221"/>
        <v>0</v>
      </c>
      <c r="EZ54" s="73">
        <f t="shared" si="221"/>
        <v>0</v>
      </c>
      <c r="FA54" s="73">
        <f t="shared" si="221"/>
        <v>0</v>
      </c>
      <c r="FB54" s="73">
        <f t="shared" si="221"/>
        <v>0</v>
      </c>
      <c r="FC54" s="73">
        <f t="shared" si="221"/>
        <v>0</v>
      </c>
      <c r="FD54" s="73">
        <f t="shared" si="221"/>
        <v>0</v>
      </c>
      <c r="FE54" s="73">
        <f t="shared" si="221"/>
        <v>0</v>
      </c>
      <c r="FF54" s="73">
        <f t="shared" si="221"/>
        <v>0</v>
      </c>
      <c r="FG54" s="73">
        <f t="shared" si="221"/>
        <v>0</v>
      </c>
      <c r="FH54" s="73">
        <f t="shared" si="221"/>
        <v>0</v>
      </c>
      <c r="FI54" s="73">
        <f t="shared" si="221"/>
        <v>0</v>
      </c>
      <c r="FJ54" s="73">
        <f t="shared" si="221"/>
        <v>0</v>
      </c>
      <c r="FK54" s="73">
        <f t="shared" si="221"/>
        <v>0</v>
      </c>
      <c r="FL54" s="73">
        <f t="shared" si="221"/>
        <v>0</v>
      </c>
      <c r="FM54" s="73">
        <f t="shared" si="221"/>
        <v>0</v>
      </c>
      <c r="FN54" s="73">
        <f t="shared" si="221"/>
        <v>0</v>
      </c>
      <c r="FO54" s="73">
        <f t="shared" si="221"/>
        <v>0</v>
      </c>
      <c r="FP54" s="73">
        <f t="shared" si="221"/>
        <v>0</v>
      </c>
      <c r="FQ54" s="73">
        <f t="shared" si="221"/>
        <v>0</v>
      </c>
      <c r="FR54" s="73">
        <f t="shared" si="221"/>
        <v>0</v>
      </c>
      <c r="FS54" s="73">
        <f t="shared" si="221"/>
        <v>0</v>
      </c>
      <c r="FT54" s="73">
        <f t="shared" si="221"/>
        <v>0</v>
      </c>
      <c r="FU54" s="73">
        <f t="shared" si="221"/>
        <v>0</v>
      </c>
      <c r="FV54" s="73">
        <f t="shared" si="221"/>
        <v>0</v>
      </c>
      <c r="FW54" s="73">
        <f t="shared" si="221"/>
        <v>0</v>
      </c>
      <c r="FX54" s="73">
        <f t="shared" si="221"/>
        <v>0</v>
      </c>
      <c r="FY54" s="73">
        <f t="shared" si="221"/>
        <v>0</v>
      </c>
      <c r="FZ54" s="86">
        <f t="shared" si="221"/>
        <v>0</v>
      </c>
    </row>
    <row r="55" spans="2:182" x14ac:dyDescent="0.2">
      <c r="B55" s="85"/>
      <c r="C55" s="73">
        <f t="shared" si="222"/>
        <v>0</v>
      </c>
      <c r="D55" s="73">
        <f t="shared" si="223"/>
        <v>0</v>
      </c>
      <c r="E55" s="73">
        <f t="shared" si="223"/>
        <v>0</v>
      </c>
      <c r="F55" s="73">
        <f t="shared" si="223"/>
        <v>0</v>
      </c>
      <c r="G55" s="73">
        <f t="shared" si="223"/>
        <v>0</v>
      </c>
      <c r="H55" s="73">
        <f t="shared" si="223"/>
        <v>0</v>
      </c>
      <c r="I55" s="73">
        <f t="shared" si="223"/>
        <v>0</v>
      </c>
      <c r="J55" s="73">
        <f t="shared" si="223"/>
        <v>0</v>
      </c>
      <c r="K55" s="73">
        <f t="shared" si="223"/>
        <v>0</v>
      </c>
      <c r="L55" s="73">
        <f t="shared" si="223"/>
        <v>0</v>
      </c>
      <c r="M55" s="73">
        <f t="shared" si="223"/>
        <v>0</v>
      </c>
      <c r="N55" s="73">
        <f t="shared" si="223"/>
        <v>0</v>
      </c>
      <c r="O55" s="73">
        <f t="shared" si="223"/>
        <v>0</v>
      </c>
      <c r="P55" s="73">
        <f t="shared" si="223"/>
        <v>0</v>
      </c>
      <c r="Q55" s="73">
        <f t="shared" si="223"/>
        <v>0</v>
      </c>
      <c r="R55" s="73">
        <f t="shared" si="223"/>
        <v>0</v>
      </c>
      <c r="S55" s="73">
        <f t="shared" si="223"/>
        <v>0</v>
      </c>
      <c r="T55" s="73">
        <f t="shared" si="223"/>
        <v>0</v>
      </c>
      <c r="U55" s="73">
        <f t="shared" si="223"/>
        <v>0</v>
      </c>
      <c r="V55" s="73">
        <f t="shared" si="223"/>
        <v>0</v>
      </c>
      <c r="W55" s="73">
        <f t="shared" si="223"/>
        <v>0</v>
      </c>
      <c r="X55" s="73">
        <f t="shared" si="223"/>
        <v>0</v>
      </c>
      <c r="Y55" s="73">
        <f t="shared" si="223"/>
        <v>0</v>
      </c>
      <c r="Z55" s="73">
        <f t="shared" si="223"/>
        <v>0</v>
      </c>
      <c r="AA55" s="73">
        <f t="shared" si="223"/>
        <v>0</v>
      </c>
      <c r="AB55" s="73">
        <f t="shared" si="223"/>
        <v>0</v>
      </c>
      <c r="AC55" s="73">
        <f t="shared" si="223"/>
        <v>0</v>
      </c>
      <c r="AD55" s="73">
        <f t="shared" si="223"/>
        <v>0</v>
      </c>
      <c r="AE55" s="73">
        <f t="shared" si="223"/>
        <v>0</v>
      </c>
      <c r="AF55" s="73">
        <f t="shared" si="223"/>
        <v>0</v>
      </c>
      <c r="AG55" s="73">
        <f t="shared" si="223"/>
        <v>0</v>
      </c>
      <c r="AH55" s="73">
        <f t="shared" si="223"/>
        <v>0</v>
      </c>
      <c r="AI55" s="73">
        <f t="shared" si="223"/>
        <v>0</v>
      </c>
      <c r="AJ55" s="73">
        <f t="shared" si="223"/>
        <v>0</v>
      </c>
      <c r="AK55" s="73">
        <f t="shared" si="223"/>
        <v>0</v>
      </c>
      <c r="AL55" s="73">
        <f t="shared" si="223"/>
        <v>0</v>
      </c>
      <c r="AM55" s="73">
        <f t="shared" si="223"/>
        <v>0</v>
      </c>
      <c r="AN55" s="73">
        <f t="shared" si="223"/>
        <v>0</v>
      </c>
      <c r="AO55" s="73">
        <f t="shared" si="223"/>
        <v>0</v>
      </c>
      <c r="AP55" s="73">
        <f t="shared" si="223"/>
        <v>0</v>
      </c>
      <c r="AQ55" s="73">
        <f t="shared" si="223"/>
        <v>0</v>
      </c>
      <c r="AR55" s="73">
        <f t="shared" si="223"/>
        <v>0</v>
      </c>
      <c r="AS55" s="73">
        <f t="shared" si="223"/>
        <v>0</v>
      </c>
      <c r="AT55" s="73">
        <f t="shared" si="223"/>
        <v>0</v>
      </c>
      <c r="AU55" s="73">
        <f t="shared" si="223"/>
        <v>0</v>
      </c>
      <c r="AV55" s="73">
        <f t="shared" si="223"/>
        <v>0</v>
      </c>
      <c r="AW55" s="73">
        <f t="shared" si="223"/>
        <v>0</v>
      </c>
      <c r="AX55" s="73">
        <f t="shared" si="223"/>
        <v>0</v>
      </c>
      <c r="AY55" s="73">
        <f t="shared" si="223"/>
        <v>0</v>
      </c>
      <c r="AZ55" s="73">
        <f t="shared" si="223"/>
        <v>0</v>
      </c>
      <c r="BA55" s="73">
        <f t="shared" si="223"/>
        <v>0</v>
      </c>
      <c r="BB55" s="73">
        <f t="shared" si="223"/>
        <v>0</v>
      </c>
      <c r="BC55" s="73">
        <f t="shared" si="223"/>
        <v>0</v>
      </c>
      <c r="BD55" s="73">
        <f t="shared" si="223"/>
        <v>0</v>
      </c>
      <c r="BE55" s="73">
        <f t="shared" si="223"/>
        <v>0</v>
      </c>
      <c r="BF55" s="73">
        <f t="shared" si="223"/>
        <v>0</v>
      </c>
      <c r="BG55" s="73">
        <f t="shared" si="223"/>
        <v>0</v>
      </c>
      <c r="BH55" s="73">
        <f t="shared" si="223"/>
        <v>0</v>
      </c>
      <c r="BI55" s="73">
        <f t="shared" si="223"/>
        <v>0</v>
      </c>
      <c r="BJ55" s="73">
        <f t="shared" si="223"/>
        <v>0</v>
      </c>
      <c r="BK55" s="73">
        <f t="shared" si="223"/>
        <v>0</v>
      </c>
      <c r="BL55" s="73">
        <f t="shared" si="223"/>
        <v>0</v>
      </c>
      <c r="BM55" s="73">
        <f t="shared" si="223"/>
        <v>0</v>
      </c>
      <c r="BN55" s="73">
        <f t="shared" si="223"/>
        <v>0</v>
      </c>
      <c r="BO55" s="73">
        <f t="shared" si="223"/>
        <v>0</v>
      </c>
      <c r="BP55" s="73">
        <f t="shared" si="220"/>
        <v>0</v>
      </c>
      <c r="BQ55" s="73">
        <f t="shared" si="220"/>
        <v>0</v>
      </c>
      <c r="BR55" s="73">
        <f t="shared" si="220"/>
        <v>0</v>
      </c>
      <c r="BS55" s="73">
        <f t="shared" si="220"/>
        <v>0</v>
      </c>
      <c r="BT55" s="73">
        <f t="shared" si="220"/>
        <v>0</v>
      </c>
      <c r="BU55" s="73">
        <f t="shared" si="220"/>
        <v>0</v>
      </c>
      <c r="BV55" s="73">
        <f t="shared" si="220"/>
        <v>0</v>
      </c>
      <c r="BW55" s="73">
        <f t="shared" si="220"/>
        <v>0</v>
      </c>
      <c r="BX55" s="73">
        <f t="shared" si="220"/>
        <v>0</v>
      </c>
      <c r="BY55" s="73">
        <f t="shared" si="220"/>
        <v>0</v>
      </c>
      <c r="BZ55" s="73">
        <f t="shared" si="220"/>
        <v>0</v>
      </c>
      <c r="CA55" s="73">
        <f t="shared" si="220"/>
        <v>0</v>
      </c>
      <c r="CB55" s="73">
        <f t="shared" si="220"/>
        <v>0</v>
      </c>
      <c r="CC55" s="73">
        <f t="shared" si="220"/>
        <v>0</v>
      </c>
      <c r="CD55" s="73">
        <f t="shared" si="220"/>
        <v>0</v>
      </c>
      <c r="CE55" s="73">
        <f t="shared" si="220"/>
        <v>0</v>
      </c>
      <c r="CF55" s="73">
        <f t="shared" si="220"/>
        <v>0</v>
      </c>
      <c r="CG55" s="73">
        <f t="shared" si="220"/>
        <v>0</v>
      </c>
      <c r="CH55" s="73">
        <f t="shared" si="220"/>
        <v>0</v>
      </c>
      <c r="CI55" s="73">
        <f t="shared" si="220"/>
        <v>0</v>
      </c>
      <c r="CJ55" s="73">
        <f t="shared" si="220"/>
        <v>0</v>
      </c>
      <c r="CK55" s="73">
        <f t="shared" si="220"/>
        <v>0</v>
      </c>
      <c r="CL55" s="73">
        <f t="shared" si="220"/>
        <v>0</v>
      </c>
      <c r="CM55" s="73">
        <f t="shared" si="220"/>
        <v>0</v>
      </c>
      <c r="CN55" s="73">
        <f t="shared" si="220"/>
        <v>0</v>
      </c>
      <c r="CO55" s="73">
        <f t="shared" si="220"/>
        <v>0</v>
      </c>
      <c r="CP55" s="73">
        <f t="shared" si="220"/>
        <v>0</v>
      </c>
      <c r="CQ55" s="73">
        <f t="shared" si="220"/>
        <v>0</v>
      </c>
      <c r="CR55" s="73">
        <f t="shared" si="220"/>
        <v>0</v>
      </c>
      <c r="CS55" s="73">
        <f t="shared" si="220"/>
        <v>0</v>
      </c>
      <c r="CT55" s="73">
        <f t="shared" si="220"/>
        <v>0</v>
      </c>
      <c r="CU55" s="73">
        <f t="shared" si="220"/>
        <v>0</v>
      </c>
      <c r="CV55" s="73">
        <f t="shared" si="220"/>
        <v>0</v>
      </c>
      <c r="CW55" s="73">
        <f t="shared" si="220"/>
        <v>0</v>
      </c>
      <c r="CX55" s="73">
        <f t="shared" si="220"/>
        <v>0</v>
      </c>
      <c r="CY55" s="73">
        <f t="shared" si="220"/>
        <v>0</v>
      </c>
      <c r="CZ55" s="73">
        <f t="shared" si="220"/>
        <v>0</v>
      </c>
      <c r="DA55" s="73">
        <f t="shared" si="220"/>
        <v>0</v>
      </c>
      <c r="DB55" s="73">
        <f t="shared" si="220"/>
        <v>0</v>
      </c>
      <c r="DC55" s="73">
        <f t="shared" si="220"/>
        <v>0</v>
      </c>
      <c r="DD55" s="73">
        <f t="shared" si="220"/>
        <v>0</v>
      </c>
      <c r="DE55" s="73">
        <f t="shared" si="220"/>
        <v>0</v>
      </c>
      <c r="DF55" s="73">
        <f t="shared" si="220"/>
        <v>0</v>
      </c>
      <c r="DG55" s="73">
        <f t="shared" si="220"/>
        <v>0</v>
      </c>
      <c r="DH55" s="73">
        <f t="shared" si="220"/>
        <v>0</v>
      </c>
      <c r="DI55" s="73">
        <f t="shared" si="220"/>
        <v>0</v>
      </c>
      <c r="DJ55" s="73">
        <f t="shared" si="220"/>
        <v>0</v>
      </c>
      <c r="DK55" s="73">
        <f t="shared" si="220"/>
        <v>0</v>
      </c>
      <c r="DL55" s="73">
        <f t="shared" si="220"/>
        <v>0</v>
      </c>
      <c r="DM55" s="73">
        <f t="shared" si="220"/>
        <v>0</v>
      </c>
      <c r="DN55" s="73">
        <f t="shared" si="220"/>
        <v>0</v>
      </c>
      <c r="DO55" s="73">
        <f t="shared" si="220"/>
        <v>0</v>
      </c>
      <c r="DP55" s="73">
        <f t="shared" si="220"/>
        <v>0</v>
      </c>
      <c r="DQ55" s="73">
        <f t="shared" si="220"/>
        <v>0</v>
      </c>
      <c r="DR55" s="73">
        <f t="shared" si="220"/>
        <v>0</v>
      </c>
      <c r="DS55" s="73">
        <f t="shared" si="220"/>
        <v>0</v>
      </c>
      <c r="DT55" s="73">
        <f t="shared" si="220"/>
        <v>0</v>
      </c>
      <c r="DU55" s="73">
        <f t="shared" si="220"/>
        <v>0</v>
      </c>
      <c r="DV55" s="73">
        <f t="shared" si="220"/>
        <v>0</v>
      </c>
      <c r="DW55" s="73">
        <f t="shared" si="220"/>
        <v>0</v>
      </c>
      <c r="DX55" s="73">
        <f t="shared" si="220"/>
        <v>0</v>
      </c>
      <c r="DY55" s="73">
        <f t="shared" si="220"/>
        <v>0</v>
      </c>
      <c r="DZ55" s="73">
        <f t="shared" si="220"/>
        <v>0</v>
      </c>
      <c r="EA55" s="73">
        <f t="shared" ref="EA55:FZ56" si="224">IF(OR($B8="",$B8=0),"",$P8*EA19*DZ43)</f>
        <v>0</v>
      </c>
      <c r="EB55" s="73">
        <f t="shared" si="224"/>
        <v>0</v>
      </c>
      <c r="EC55" s="73">
        <f t="shared" si="224"/>
        <v>0</v>
      </c>
      <c r="ED55" s="73">
        <f t="shared" si="224"/>
        <v>0</v>
      </c>
      <c r="EE55" s="73">
        <f t="shared" si="224"/>
        <v>0</v>
      </c>
      <c r="EF55" s="73">
        <f t="shared" si="224"/>
        <v>0</v>
      </c>
      <c r="EG55" s="73">
        <f t="shared" si="224"/>
        <v>0</v>
      </c>
      <c r="EH55" s="73">
        <f t="shared" si="224"/>
        <v>0</v>
      </c>
      <c r="EI55" s="73">
        <f t="shared" si="224"/>
        <v>0</v>
      </c>
      <c r="EJ55" s="73">
        <f t="shared" si="224"/>
        <v>0</v>
      </c>
      <c r="EK55" s="73">
        <f t="shared" si="224"/>
        <v>0</v>
      </c>
      <c r="EL55" s="73">
        <f t="shared" si="224"/>
        <v>0</v>
      </c>
      <c r="EM55" s="73">
        <f t="shared" si="224"/>
        <v>0</v>
      </c>
      <c r="EN55" s="73">
        <f t="shared" si="224"/>
        <v>0</v>
      </c>
      <c r="EO55" s="73">
        <f t="shared" si="224"/>
        <v>0</v>
      </c>
      <c r="EP55" s="73">
        <f t="shared" si="224"/>
        <v>0</v>
      </c>
      <c r="EQ55" s="73">
        <f t="shared" si="224"/>
        <v>0</v>
      </c>
      <c r="ER55" s="73">
        <f t="shared" si="224"/>
        <v>0</v>
      </c>
      <c r="ES55" s="73">
        <f t="shared" si="224"/>
        <v>0</v>
      </c>
      <c r="ET55" s="73">
        <f t="shared" si="224"/>
        <v>0</v>
      </c>
      <c r="EU55" s="73">
        <f t="shared" si="224"/>
        <v>0</v>
      </c>
      <c r="EV55" s="73">
        <f t="shared" si="224"/>
        <v>0</v>
      </c>
      <c r="EW55" s="73">
        <f t="shared" si="224"/>
        <v>0</v>
      </c>
      <c r="EX55" s="73">
        <f t="shared" si="224"/>
        <v>0</v>
      </c>
      <c r="EY55" s="73">
        <f t="shared" si="224"/>
        <v>0</v>
      </c>
      <c r="EZ55" s="73">
        <f t="shared" si="224"/>
        <v>0</v>
      </c>
      <c r="FA55" s="73">
        <f t="shared" si="224"/>
        <v>0</v>
      </c>
      <c r="FB55" s="73">
        <f t="shared" si="224"/>
        <v>0</v>
      </c>
      <c r="FC55" s="73">
        <f t="shared" si="224"/>
        <v>0</v>
      </c>
      <c r="FD55" s="73">
        <f t="shared" si="224"/>
        <v>0</v>
      </c>
      <c r="FE55" s="73">
        <f t="shared" si="224"/>
        <v>0</v>
      </c>
      <c r="FF55" s="73">
        <f t="shared" si="224"/>
        <v>0</v>
      </c>
      <c r="FG55" s="73">
        <f t="shared" si="224"/>
        <v>0</v>
      </c>
      <c r="FH55" s="73">
        <f t="shared" si="224"/>
        <v>0</v>
      </c>
      <c r="FI55" s="73">
        <f t="shared" si="224"/>
        <v>0</v>
      </c>
      <c r="FJ55" s="73">
        <f t="shared" si="224"/>
        <v>0</v>
      </c>
      <c r="FK55" s="73">
        <f t="shared" si="224"/>
        <v>0</v>
      </c>
      <c r="FL55" s="73">
        <f t="shared" si="224"/>
        <v>0</v>
      </c>
      <c r="FM55" s="73">
        <f t="shared" si="224"/>
        <v>0</v>
      </c>
      <c r="FN55" s="73">
        <f t="shared" si="224"/>
        <v>0</v>
      </c>
      <c r="FO55" s="73">
        <f t="shared" si="224"/>
        <v>0</v>
      </c>
      <c r="FP55" s="73">
        <f t="shared" si="224"/>
        <v>0</v>
      </c>
      <c r="FQ55" s="73">
        <f t="shared" si="224"/>
        <v>0</v>
      </c>
      <c r="FR55" s="73">
        <f t="shared" si="224"/>
        <v>0</v>
      </c>
      <c r="FS55" s="73">
        <f t="shared" si="224"/>
        <v>0</v>
      </c>
      <c r="FT55" s="73">
        <f t="shared" si="224"/>
        <v>0</v>
      </c>
      <c r="FU55" s="73">
        <f t="shared" si="224"/>
        <v>0</v>
      </c>
      <c r="FV55" s="73">
        <f t="shared" si="224"/>
        <v>0</v>
      </c>
      <c r="FW55" s="73">
        <f t="shared" si="224"/>
        <v>0</v>
      </c>
      <c r="FX55" s="73">
        <f t="shared" si="224"/>
        <v>0</v>
      </c>
      <c r="FY55" s="73">
        <f t="shared" si="224"/>
        <v>0</v>
      </c>
      <c r="FZ55" s="86">
        <f t="shared" si="224"/>
        <v>0</v>
      </c>
    </row>
    <row r="56" spans="2:182" x14ac:dyDescent="0.2">
      <c r="B56" s="85"/>
      <c r="C56" s="73">
        <f t="shared" si="222"/>
        <v>0</v>
      </c>
      <c r="D56" s="73">
        <f t="shared" si="223"/>
        <v>0</v>
      </c>
      <c r="E56" s="73">
        <f t="shared" si="223"/>
        <v>0</v>
      </c>
      <c r="F56" s="73">
        <f t="shared" si="223"/>
        <v>0</v>
      </c>
      <c r="G56" s="73">
        <f t="shared" si="223"/>
        <v>0</v>
      </c>
      <c r="H56" s="73">
        <f t="shared" si="223"/>
        <v>0</v>
      </c>
      <c r="I56" s="73">
        <f t="shared" si="223"/>
        <v>0</v>
      </c>
      <c r="J56" s="73">
        <f t="shared" si="223"/>
        <v>0</v>
      </c>
      <c r="K56" s="73">
        <f t="shared" si="223"/>
        <v>0</v>
      </c>
      <c r="L56" s="73">
        <f t="shared" si="223"/>
        <v>0</v>
      </c>
      <c r="M56" s="73">
        <f t="shared" si="223"/>
        <v>0</v>
      </c>
      <c r="N56" s="73">
        <f t="shared" si="223"/>
        <v>0</v>
      </c>
      <c r="O56" s="73">
        <f t="shared" si="223"/>
        <v>0</v>
      </c>
      <c r="P56" s="73">
        <f t="shared" si="223"/>
        <v>0</v>
      </c>
      <c r="Q56" s="73">
        <f t="shared" si="223"/>
        <v>0</v>
      </c>
      <c r="R56" s="73">
        <f t="shared" si="223"/>
        <v>0</v>
      </c>
      <c r="S56" s="73">
        <f t="shared" si="223"/>
        <v>0</v>
      </c>
      <c r="T56" s="73">
        <f t="shared" si="223"/>
        <v>0</v>
      </c>
      <c r="U56" s="73">
        <f t="shared" si="223"/>
        <v>0</v>
      </c>
      <c r="V56" s="73">
        <f t="shared" si="223"/>
        <v>0</v>
      </c>
      <c r="W56" s="73">
        <f t="shared" si="223"/>
        <v>0</v>
      </c>
      <c r="X56" s="73">
        <f t="shared" si="223"/>
        <v>0</v>
      </c>
      <c r="Y56" s="73">
        <f t="shared" si="223"/>
        <v>0</v>
      </c>
      <c r="Z56" s="73">
        <f t="shared" si="223"/>
        <v>0</v>
      </c>
      <c r="AA56" s="73">
        <f t="shared" si="223"/>
        <v>0</v>
      </c>
      <c r="AB56" s="73">
        <f t="shared" si="223"/>
        <v>0</v>
      </c>
      <c r="AC56" s="73">
        <f t="shared" si="223"/>
        <v>0</v>
      </c>
      <c r="AD56" s="73">
        <f t="shared" si="223"/>
        <v>0</v>
      </c>
      <c r="AE56" s="73">
        <f t="shared" si="223"/>
        <v>0</v>
      </c>
      <c r="AF56" s="73">
        <f t="shared" si="223"/>
        <v>0</v>
      </c>
      <c r="AG56" s="73">
        <f t="shared" si="223"/>
        <v>0</v>
      </c>
      <c r="AH56" s="73">
        <f t="shared" si="223"/>
        <v>0</v>
      </c>
      <c r="AI56" s="73">
        <f t="shared" si="223"/>
        <v>0</v>
      </c>
      <c r="AJ56" s="73">
        <f t="shared" si="223"/>
        <v>0</v>
      </c>
      <c r="AK56" s="73">
        <f t="shared" si="223"/>
        <v>0</v>
      </c>
      <c r="AL56" s="73">
        <f t="shared" si="223"/>
        <v>0</v>
      </c>
      <c r="AM56" s="73">
        <f t="shared" si="223"/>
        <v>0</v>
      </c>
      <c r="AN56" s="73">
        <f t="shared" si="223"/>
        <v>0</v>
      </c>
      <c r="AO56" s="73">
        <f t="shared" si="223"/>
        <v>0</v>
      </c>
      <c r="AP56" s="73">
        <f t="shared" si="223"/>
        <v>0</v>
      </c>
      <c r="AQ56" s="73">
        <f t="shared" si="223"/>
        <v>0</v>
      </c>
      <c r="AR56" s="73">
        <f t="shared" si="223"/>
        <v>0</v>
      </c>
      <c r="AS56" s="73">
        <f t="shared" si="223"/>
        <v>0</v>
      </c>
      <c r="AT56" s="73">
        <f t="shared" si="223"/>
        <v>0</v>
      </c>
      <c r="AU56" s="73">
        <f t="shared" si="223"/>
        <v>0</v>
      </c>
      <c r="AV56" s="73">
        <f t="shared" si="223"/>
        <v>0</v>
      </c>
      <c r="AW56" s="73">
        <f t="shared" si="223"/>
        <v>0</v>
      </c>
      <c r="AX56" s="73">
        <f t="shared" si="223"/>
        <v>0</v>
      </c>
      <c r="AY56" s="73">
        <f t="shared" si="223"/>
        <v>0</v>
      </c>
      <c r="AZ56" s="73">
        <f t="shared" si="223"/>
        <v>0</v>
      </c>
      <c r="BA56" s="73">
        <f t="shared" si="223"/>
        <v>0</v>
      </c>
      <c r="BB56" s="73">
        <f t="shared" si="223"/>
        <v>0</v>
      </c>
      <c r="BC56" s="73">
        <f t="shared" si="223"/>
        <v>0</v>
      </c>
      <c r="BD56" s="73">
        <f t="shared" si="223"/>
        <v>0</v>
      </c>
      <c r="BE56" s="73">
        <f t="shared" si="223"/>
        <v>0</v>
      </c>
      <c r="BF56" s="73">
        <f t="shared" si="223"/>
        <v>0</v>
      </c>
      <c r="BG56" s="73">
        <f t="shared" si="223"/>
        <v>0</v>
      </c>
      <c r="BH56" s="73">
        <f t="shared" si="223"/>
        <v>0</v>
      </c>
      <c r="BI56" s="73">
        <f t="shared" si="223"/>
        <v>0</v>
      </c>
      <c r="BJ56" s="73">
        <f t="shared" si="223"/>
        <v>0</v>
      </c>
      <c r="BK56" s="73">
        <f t="shared" si="223"/>
        <v>0</v>
      </c>
      <c r="BL56" s="73">
        <f t="shared" si="223"/>
        <v>0</v>
      </c>
      <c r="BM56" s="73">
        <f t="shared" si="223"/>
        <v>0</v>
      </c>
      <c r="BN56" s="73">
        <f t="shared" si="223"/>
        <v>0</v>
      </c>
      <c r="BO56" s="73">
        <f t="shared" si="223"/>
        <v>0</v>
      </c>
      <c r="BP56" s="73">
        <f t="shared" ref="BP56:EA56" si="225">IF(OR($B9="",$B9=0),"",$P9*BP20*BO44)</f>
        <v>0</v>
      </c>
      <c r="BQ56" s="73">
        <f t="shared" si="225"/>
        <v>0</v>
      </c>
      <c r="BR56" s="73">
        <f t="shared" si="225"/>
        <v>0</v>
      </c>
      <c r="BS56" s="73">
        <f t="shared" si="225"/>
        <v>0</v>
      </c>
      <c r="BT56" s="73">
        <f t="shared" si="225"/>
        <v>0</v>
      </c>
      <c r="BU56" s="73">
        <f t="shared" si="225"/>
        <v>0</v>
      </c>
      <c r="BV56" s="73">
        <f t="shared" si="225"/>
        <v>0</v>
      </c>
      <c r="BW56" s="73">
        <f t="shared" si="225"/>
        <v>0</v>
      </c>
      <c r="BX56" s="73">
        <f t="shared" si="225"/>
        <v>0</v>
      </c>
      <c r="BY56" s="73">
        <f t="shared" si="225"/>
        <v>0</v>
      </c>
      <c r="BZ56" s="73">
        <f t="shared" si="225"/>
        <v>0</v>
      </c>
      <c r="CA56" s="73">
        <f t="shared" si="225"/>
        <v>0</v>
      </c>
      <c r="CB56" s="73">
        <f t="shared" si="225"/>
        <v>0</v>
      </c>
      <c r="CC56" s="73">
        <f t="shared" si="225"/>
        <v>0</v>
      </c>
      <c r="CD56" s="73">
        <f t="shared" si="225"/>
        <v>0</v>
      </c>
      <c r="CE56" s="73">
        <f t="shared" si="225"/>
        <v>0</v>
      </c>
      <c r="CF56" s="73">
        <f t="shared" si="225"/>
        <v>0</v>
      </c>
      <c r="CG56" s="73">
        <f t="shared" si="225"/>
        <v>0</v>
      </c>
      <c r="CH56" s="73">
        <f t="shared" si="225"/>
        <v>0</v>
      </c>
      <c r="CI56" s="73">
        <f t="shared" si="225"/>
        <v>0</v>
      </c>
      <c r="CJ56" s="73">
        <f t="shared" si="225"/>
        <v>0</v>
      </c>
      <c r="CK56" s="73">
        <f t="shared" si="225"/>
        <v>0</v>
      </c>
      <c r="CL56" s="73">
        <f t="shared" si="225"/>
        <v>0</v>
      </c>
      <c r="CM56" s="73">
        <f t="shared" si="225"/>
        <v>0</v>
      </c>
      <c r="CN56" s="73">
        <f t="shared" si="225"/>
        <v>0</v>
      </c>
      <c r="CO56" s="73">
        <f t="shared" si="225"/>
        <v>0</v>
      </c>
      <c r="CP56" s="73">
        <f t="shared" si="225"/>
        <v>0</v>
      </c>
      <c r="CQ56" s="73">
        <f t="shared" si="225"/>
        <v>0</v>
      </c>
      <c r="CR56" s="73">
        <f t="shared" si="225"/>
        <v>0</v>
      </c>
      <c r="CS56" s="73">
        <f t="shared" si="225"/>
        <v>0</v>
      </c>
      <c r="CT56" s="73">
        <f t="shared" si="225"/>
        <v>0</v>
      </c>
      <c r="CU56" s="73">
        <f t="shared" si="225"/>
        <v>0</v>
      </c>
      <c r="CV56" s="73">
        <f t="shared" si="225"/>
        <v>0</v>
      </c>
      <c r="CW56" s="73">
        <f t="shared" si="225"/>
        <v>0</v>
      </c>
      <c r="CX56" s="73">
        <f t="shared" si="225"/>
        <v>0</v>
      </c>
      <c r="CY56" s="73">
        <f t="shared" si="225"/>
        <v>0</v>
      </c>
      <c r="CZ56" s="73">
        <f t="shared" si="225"/>
        <v>0</v>
      </c>
      <c r="DA56" s="73">
        <f t="shared" si="225"/>
        <v>0</v>
      </c>
      <c r="DB56" s="73">
        <f t="shared" si="225"/>
        <v>0</v>
      </c>
      <c r="DC56" s="73">
        <f t="shared" si="225"/>
        <v>0</v>
      </c>
      <c r="DD56" s="73">
        <f t="shared" si="225"/>
        <v>0</v>
      </c>
      <c r="DE56" s="73">
        <f t="shared" si="225"/>
        <v>0</v>
      </c>
      <c r="DF56" s="73">
        <f t="shared" si="225"/>
        <v>0</v>
      </c>
      <c r="DG56" s="73">
        <f t="shared" si="225"/>
        <v>0</v>
      </c>
      <c r="DH56" s="73">
        <f t="shared" si="225"/>
        <v>0</v>
      </c>
      <c r="DI56" s="73">
        <f t="shared" si="225"/>
        <v>0</v>
      </c>
      <c r="DJ56" s="73">
        <f t="shared" si="225"/>
        <v>0</v>
      </c>
      <c r="DK56" s="73">
        <f t="shared" si="225"/>
        <v>0</v>
      </c>
      <c r="DL56" s="73">
        <f t="shared" si="225"/>
        <v>0</v>
      </c>
      <c r="DM56" s="73">
        <f t="shared" si="225"/>
        <v>0</v>
      </c>
      <c r="DN56" s="73">
        <f t="shared" si="225"/>
        <v>0</v>
      </c>
      <c r="DO56" s="73">
        <f t="shared" si="225"/>
        <v>0</v>
      </c>
      <c r="DP56" s="73">
        <f t="shared" si="225"/>
        <v>0</v>
      </c>
      <c r="DQ56" s="73">
        <f t="shared" si="225"/>
        <v>0</v>
      </c>
      <c r="DR56" s="73">
        <f t="shared" si="225"/>
        <v>0</v>
      </c>
      <c r="DS56" s="73">
        <f t="shared" si="225"/>
        <v>0</v>
      </c>
      <c r="DT56" s="73">
        <f t="shared" si="225"/>
        <v>0</v>
      </c>
      <c r="DU56" s="73">
        <f t="shared" si="225"/>
        <v>0</v>
      </c>
      <c r="DV56" s="73">
        <f t="shared" si="225"/>
        <v>0</v>
      </c>
      <c r="DW56" s="73">
        <f t="shared" si="225"/>
        <v>0</v>
      </c>
      <c r="DX56" s="73">
        <f t="shared" si="225"/>
        <v>0</v>
      </c>
      <c r="DY56" s="73">
        <f t="shared" si="225"/>
        <v>0</v>
      </c>
      <c r="DZ56" s="73">
        <f t="shared" si="225"/>
        <v>0</v>
      </c>
      <c r="EA56" s="73">
        <f t="shared" si="225"/>
        <v>0</v>
      </c>
      <c r="EB56" s="73">
        <f t="shared" si="224"/>
        <v>0</v>
      </c>
      <c r="EC56" s="73">
        <f t="shared" si="224"/>
        <v>0</v>
      </c>
      <c r="ED56" s="73">
        <f t="shared" si="224"/>
        <v>0</v>
      </c>
      <c r="EE56" s="73">
        <f t="shared" si="224"/>
        <v>0</v>
      </c>
      <c r="EF56" s="73">
        <f t="shared" si="224"/>
        <v>0</v>
      </c>
      <c r="EG56" s="73">
        <f t="shared" si="224"/>
        <v>0</v>
      </c>
      <c r="EH56" s="73">
        <f t="shared" si="224"/>
        <v>0</v>
      </c>
      <c r="EI56" s="73">
        <f t="shared" si="224"/>
        <v>0</v>
      </c>
      <c r="EJ56" s="73">
        <f t="shared" si="224"/>
        <v>0</v>
      </c>
      <c r="EK56" s="73">
        <f t="shared" si="224"/>
        <v>0</v>
      </c>
      <c r="EL56" s="73">
        <f t="shared" si="224"/>
        <v>0</v>
      </c>
      <c r="EM56" s="73">
        <f t="shared" si="224"/>
        <v>0</v>
      </c>
      <c r="EN56" s="73">
        <f t="shared" si="224"/>
        <v>0</v>
      </c>
      <c r="EO56" s="73">
        <f t="shared" si="224"/>
        <v>0</v>
      </c>
      <c r="EP56" s="73">
        <f t="shared" si="224"/>
        <v>0</v>
      </c>
      <c r="EQ56" s="73">
        <f t="shared" si="224"/>
        <v>0</v>
      </c>
      <c r="ER56" s="73">
        <f t="shared" si="224"/>
        <v>0</v>
      </c>
      <c r="ES56" s="73">
        <f t="shared" si="224"/>
        <v>0</v>
      </c>
      <c r="ET56" s="73">
        <f t="shared" si="224"/>
        <v>0</v>
      </c>
      <c r="EU56" s="73">
        <f t="shared" si="224"/>
        <v>0</v>
      </c>
      <c r="EV56" s="73">
        <f t="shared" si="224"/>
        <v>0</v>
      </c>
      <c r="EW56" s="73">
        <f t="shared" si="224"/>
        <v>0</v>
      </c>
      <c r="EX56" s="73">
        <f t="shared" si="224"/>
        <v>0</v>
      </c>
      <c r="EY56" s="73">
        <f t="shared" si="224"/>
        <v>0</v>
      </c>
      <c r="EZ56" s="73">
        <f t="shared" si="224"/>
        <v>0</v>
      </c>
      <c r="FA56" s="73">
        <f t="shared" si="224"/>
        <v>0</v>
      </c>
      <c r="FB56" s="73">
        <f t="shared" si="224"/>
        <v>0</v>
      </c>
      <c r="FC56" s="73">
        <f t="shared" si="224"/>
        <v>0</v>
      </c>
      <c r="FD56" s="73">
        <f t="shared" si="224"/>
        <v>0</v>
      </c>
      <c r="FE56" s="73">
        <f t="shared" si="224"/>
        <v>0</v>
      </c>
      <c r="FF56" s="73">
        <f t="shared" si="224"/>
        <v>0</v>
      </c>
      <c r="FG56" s="73">
        <f t="shared" si="224"/>
        <v>0</v>
      </c>
      <c r="FH56" s="73">
        <f t="shared" si="224"/>
        <v>0</v>
      </c>
      <c r="FI56" s="73">
        <f t="shared" si="224"/>
        <v>0</v>
      </c>
      <c r="FJ56" s="73">
        <f t="shared" si="224"/>
        <v>0</v>
      </c>
      <c r="FK56" s="73">
        <f t="shared" si="224"/>
        <v>0</v>
      </c>
      <c r="FL56" s="73">
        <f t="shared" si="224"/>
        <v>0</v>
      </c>
      <c r="FM56" s="73">
        <f t="shared" si="224"/>
        <v>0</v>
      </c>
      <c r="FN56" s="73">
        <f t="shared" si="224"/>
        <v>0</v>
      </c>
      <c r="FO56" s="73">
        <f t="shared" si="224"/>
        <v>0</v>
      </c>
      <c r="FP56" s="73">
        <f t="shared" si="224"/>
        <v>0</v>
      </c>
      <c r="FQ56" s="73">
        <f t="shared" si="224"/>
        <v>0</v>
      </c>
      <c r="FR56" s="73">
        <f t="shared" si="224"/>
        <v>0</v>
      </c>
      <c r="FS56" s="73">
        <f t="shared" si="224"/>
        <v>0</v>
      </c>
      <c r="FT56" s="73">
        <f t="shared" si="224"/>
        <v>0</v>
      </c>
      <c r="FU56" s="73">
        <f t="shared" si="224"/>
        <v>0</v>
      </c>
      <c r="FV56" s="73">
        <f t="shared" si="224"/>
        <v>0</v>
      </c>
      <c r="FW56" s="73">
        <f t="shared" si="224"/>
        <v>0</v>
      </c>
      <c r="FX56" s="73">
        <f t="shared" si="224"/>
        <v>0</v>
      </c>
      <c r="FY56" s="73">
        <f t="shared" si="224"/>
        <v>0</v>
      </c>
      <c r="FZ56" s="86">
        <f t="shared" si="224"/>
        <v>0</v>
      </c>
    </row>
    <row r="57" spans="2:182" x14ac:dyDescent="0.2">
      <c r="B57" s="85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81"/>
      <c r="BQ57" s="81"/>
      <c r="BR57" s="81"/>
      <c r="BS57" s="81"/>
      <c r="BT57" s="81"/>
      <c r="BU57" s="81"/>
      <c r="BV57" s="81"/>
      <c r="BW57" s="81"/>
      <c r="BX57" s="81"/>
      <c r="BY57" s="81"/>
      <c r="BZ57" s="81"/>
      <c r="CA57" s="81"/>
      <c r="CB57" s="81"/>
      <c r="CC57" s="81"/>
      <c r="CD57" s="81"/>
      <c r="CE57" s="81"/>
      <c r="CF57" s="81"/>
      <c r="CG57" s="81"/>
      <c r="CH57" s="81"/>
      <c r="CI57" s="81"/>
      <c r="CJ57" s="81"/>
      <c r="CK57" s="81"/>
      <c r="CL57" s="81"/>
      <c r="CM57" s="81"/>
      <c r="CN57" s="81"/>
      <c r="CO57" s="81"/>
      <c r="CP57" s="81"/>
      <c r="CQ57" s="81"/>
      <c r="CR57" s="81"/>
      <c r="CS57" s="81"/>
      <c r="CT57" s="81"/>
      <c r="CU57" s="81"/>
      <c r="CV57" s="81"/>
      <c r="CW57" s="81"/>
      <c r="CX57" s="81"/>
      <c r="CY57" s="81"/>
      <c r="CZ57" s="81"/>
      <c r="DA57" s="81"/>
      <c r="DB57" s="81"/>
      <c r="DC57" s="81"/>
      <c r="DD57" s="81"/>
      <c r="DE57" s="81"/>
      <c r="DF57" s="81"/>
      <c r="DG57" s="81"/>
      <c r="DH57" s="81"/>
      <c r="DI57" s="81"/>
      <c r="DJ57" s="81"/>
      <c r="DK57" s="81"/>
      <c r="DL57" s="81"/>
      <c r="DM57" s="81"/>
      <c r="DN57" s="81"/>
      <c r="DO57" s="81"/>
      <c r="DP57" s="81"/>
      <c r="DQ57" s="81"/>
      <c r="DR57" s="81"/>
      <c r="DS57" s="81"/>
      <c r="DT57" s="81"/>
      <c r="DU57" s="81"/>
      <c r="DV57" s="81"/>
      <c r="DW57" s="81"/>
      <c r="DX57" s="81"/>
      <c r="DY57" s="81"/>
      <c r="DZ57" s="81"/>
      <c r="EA57" s="81"/>
      <c r="EB57" s="81"/>
      <c r="EC57" s="81"/>
      <c r="ED57" s="81"/>
      <c r="EE57" s="81"/>
      <c r="EF57" s="81"/>
      <c r="EG57" s="81"/>
      <c r="EH57" s="81"/>
      <c r="EI57" s="81"/>
      <c r="EJ57" s="81"/>
      <c r="EK57" s="81"/>
      <c r="EL57" s="81"/>
      <c r="EM57" s="81"/>
      <c r="EN57" s="81"/>
      <c r="EO57" s="81"/>
      <c r="EP57" s="81"/>
      <c r="EQ57" s="81"/>
      <c r="ER57" s="81"/>
      <c r="ES57" s="81"/>
      <c r="ET57" s="81"/>
      <c r="EU57" s="81"/>
      <c r="EV57" s="81"/>
      <c r="EW57" s="81"/>
      <c r="EX57" s="81"/>
      <c r="EY57" s="81"/>
      <c r="EZ57" s="81"/>
      <c r="FA57" s="81"/>
      <c r="FB57" s="81"/>
      <c r="FC57" s="81"/>
      <c r="FD57" s="81"/>
      <c r="FE57" s="81"/>
      <c r="FF57" s="81"/>
      <c r="FG57" s="81"/>
      <c r="FH57" s="81"/>
      <c r="FI57" s="81"/>
      <c r="FJ57" s="81"/>
      <c r="FK57" s="81"/>
      <c r="FL57" s="81"/>
      <c r="FM57" s="81"/>
      <c r="FN57" s="81"/>
      <c r="FO57" s="81"/>
      <c r="FP57" s="81"/>
      <c r="FQ57" s="81"/>
      <c r="FR57" s="81"/>
      <c r="FS57" s="81"/>
      <c r="FT57" s="81"/>
      <c r="FU57" s="81"/>
      <c r="FV57" s="81"/>
      <c r="FW57" s="81"/>
      <c r="FX57" s="81"/>
      <c r="FY57" s="81"/>
      <c r="FZ57" s="82"/>
    </row>
    <row r="58" spans="2:182" x14ac:dyDescent="0.2">
      <c r="B58" s="87" t="s">
        <v>132</v>
      </c>
      <c r="C58" s="88">
        <f>SUM(C52:C57)</f>
        <v>0</v>
      </c>
      <c r="D58" s="88">
        <f t="shared" ref="D58:BO58" si="226">SUM(D52:D57)</f>
        <v>0</v>
      </c>
      <c r="E58" s="88">
        <f t="shared" si="226"/>
        <v>0</v>
      </c>
      <c r="F58" s="88">
        <f t="shared" si="226"/>
        <v>0</v>
      </c>
      <c r="G58" s="88">
        <f t="shared" si="226"/>
        <v>0</v>
      </c>
      <c r="H58" s="88">
        <f t="shared" si="226"/>
        <v>0</v>
      </c>
      <c r="I58" s="88">
        <f t="shared" si="226"/>
        <v>0</v>
      </c>
      <c r="J58" s="88">
        <f t="shared" si="226"/>
        <v>0</v>
      </c>
      <c r="K58" s="88">
        <f t="shared" si="226"/>
        <v>0</v>
      </c>
      <c r="L58" s="88">
        <f t="shared" si="226"/>
        <v>0</v>
      </c>
      <c r="M58" s="88">
        <f t="shared" si="226"/>
        <v>0</v>
      </c>
      <c r="N58" s="88">
        <f t="shared" si="226"/>
        <v>0</v>
      </c>
      <c r="O58" s="88">
        <f t="shared" si="226"/>
        <v>0</v>
      </c>
      <c r="P58" s="88">
        <f t="shared" si="226"/>
        <v>0</v>
      </c>
      <c r="Q58" s="88">
        <f t="shared" si="226"/>
        <v>0</v>
      </c>
      <c r="R58" s="88">
        <f t="shared" si="226"/>
        <v>0</v>
      </c>
      <c r="S58" s="88">
        <f t="shared" si="226"/>
        <v>0</v>
      </c>
      <c r="T58" s="88">
        <f t="shared" si="226"/>
        <v>0</v>
      </c>
      <c r="U58" s="88">
        <f t="shared" si="226"/>
        <v>0</v>
      </c>
      <c r="V58" s="88">
        <f t="shared" si="226"/>
        <v>0</v>
      </c>
      <c r="W58" s="88">
        <f t="shared" si="226"/>
        <v>0</v>
      </c>
      <c r="X58" s="88">
        <f t="shared" si="226"/>
        <v>0</v>
      </c>
      <c r="Y58" s="88">
        <f t="shared" si="226"/>
        <v>0</v>
      </c>
      <c r="Z58" s="88">
        <f t="shared" si="226"/>
        <v>0</v>
      </c>
      <c r="AA58" s="88">
        <f t="shared" si="226"/>
        <v>0</v>
      </c>
      <c r="AB58" s="88">
        <f t="shared" si="226"/>
        <v>0</v>
      </c>
      <c r="AC58" s="88">
        <f t="shared" si="226"/>
        <v>0</v>
      </c>
      <c r="AD58" s="88">
        <f t="shared" si="226"/>
        <v>0</v>
      </c>
      <c r="AE58" s="88">
        <f t="shared" si="226"/>
        <v>0</v>
      </c>
      <c r="AF58" s="88">
        <f t="shared" si="226"/>
        <v>0</v>
      </c>
      <c r="AG58" s="88">
        <f t="shared" si="226"/>
        <v>0</v>
      </c>
      <c r="AH58" s="88">
        <f t="shared" si="226"/>
        <v>0</v>
      </c>
      <c r="AI58" s="88">
        <f t="shared" si="226"/>
        <v>0</v>
      </c>
      <c r="AJ58" s="88">
        <f t="shared" si="226"/>
        <v>0</v>
      </c>
      <c r="AK58" s="88">
        <f t="shared" si="226"/>
        <v>0</v>
      </c>
      <c r="AL58" s="88">
        <f t="shared" si="226"/>
        <v>0</v>
      </c>
      <c r="AM58" s="88">
        <f t="shared" si="226"/>
        <v>0</v>
      </c>
      <c r="AN58" s="88">
        <f t="shared" si="226"/>
        <v>0</v>
      </c>
      <c r="AO58" s="88">
        <f t="shared" si="226"/>
        <v>0</v>
      </c>
      <c r="AP58" s="88">
        <f t="shared" si="226"/>
        <v>0</v>
      </c>
      <c r="AQ58" s="88">
        <f t="shared" si="226"/>
        <v>0</v>
      </c>
      <c r="AR58" s="88">
        <f t="shared" si="226"/>
        <v>0</v>
      </c>
      <c r="AS58" s="88">
        <f t="shared" si="226"/>
        <v>0</v>
      </c>
      <c r="AT58" s="88">
        <f t="shared" si="226"/>
        <v>0</v>
      </c>
      <c r="AU58" s="88">
        <f t="shared" si="226"/>
        <v>0</v>
      </c>
      <c r="AV58" s="88">
        <f t="shared" si="226"/>
        <v>0</v>
      </c>
      <c r="AW58" s="88">
        <f t="shared" si="226"/>
        <v>0</v>
      </c>
      <c r="AX58" s="88">
        <f t="shared" si="226"/>
        <v>0</v>
      </c>
      <c r="AY58" s="88">
        <f t="shared" si="226"/>
        <v>0</v>
      </c>
      <c r="AZ58" s="88">
        <f t="shared" si="226"/>
        <v>0</v>
      </c>
      <c r="BA58" s="88">
        <f t="shared" si="226"/>
        <v>0</v>
      </c>
      <c r="BB58" s="88">
        <f t="shared" si="226"/>
        <v>0</v>
      </c>
      <c r="BC58" s="88">
        <f t="shared" si="226"/>
        <v>0</v>
      </c>
      <c r="BD58" s="88">
        <f t="shared" si="226"/>
        <v>0</v>
      </c>
      <c r="BE58" s="88">
        <f t="shared" si="226"/>
        <v>0</v>
      </c>
      <c r="BF58" s="88">
        <f t="shared" si="226"/>
        <v>0</v>
      </c>
      <c r="BG58" s="88">
        <f t="shared" si="226"/>
        <v>0</v>
      </c>
      <c r="BH58" s="88">
        <f t="shared" si="226"/>
        <v>0</v>
      </c>
      <c r="BI58" s="88">
        <f t="shared" si="226"/>
        <v>0</v>
      </c>
      <c r="BJ58" s="88">
        <f t="shared" si="226"/>
        <v>0</v>
      </c>
      <c r="BK58" s="88">
        <f t="shared" si="226"/>
        <v>0</v>
      </c>
      <c r="BL58" s="88">
        <f t="shared" si="226"/>
        <v>0</v>
      </c>
      <c r="BM58" s="88">
        <f t="shared" si="226"/>
        <v>0</v>
      </c>
      <c r="BN58" s="88">
        <f t="shared" si="226"/>
        <v>0</v>
      </c>
      <c r="BO58" s="88">
        <f t="shared" si="226"/>
        <v>0</v>
      </c>
      <c r="BP58" s="88">
        <f t="shared" ref="BP58:EA58" si="227">SUM(BP52:BP57)</f>
        <v>0</v>
      </c>
      <c r="BQ58" s="88">
        <f t="shared" si="227"/>
        <v>0</v>
      </c>
      <c r="BR58" s="88">
        <f t="shared" si="227"/>
        <v>0</v>
      </c>
      <c r="BS58" s="88">
        <f t="shared" si="227"/>
        <v>0</v>
      </c>
      <c r="BT58" s="88">
        <f t="shared" si="227"/>
        <v>0</v>
      </c>
      <c r="BU58" s="88">
        <f t="shared" si="227"/>
        <v>0</v>
      </c>
      <c r="BV58" s="88">
        <f t="shared" si="227"/>
        <v>0</v>
      </c>
      <c r="BW58" s="88">
        <f t="shared" si="227"/>
        <v>0</v>
      </c>
      <c r="BX58" s="88">
        <f t="shared" si="227"/>
        <v>0</v>
      </c>
      <c r="BY58" s="88">
        <f t="shared" si="227"/>
        <v>0</v>
      </c>
      <c r="BZ58" s="88">
        <f t="shared" si="227"/>
        <v>0</v>
      </c>
      <c r="CA58" s="88">
        <f t="shared" si="227"/>
        <v>0</v>
      </c>
      <c r="CB58" s="88">
        <f t="shared" si="227"/>
        <v>0</v>
      </c>
      <c r="CC58" s="88">
        <f t="shared" si="227"/>
        <v>0</v>
      </c>
      <c r="CD58" s="88">
        <f t="shared" si="227"/>
        <v>0</v>
      </c>
      <c r="CE58" s="88">
        <f t="shared" si="227"/>
        <v>0</v>
      </c>
      <c r="CF58" s="88">
        <f t="shared" si="227"/>
        <v>0</v>
      </c>
      <c r="CG58" s="88">
        <f t="shared" si="227"/>
        <v>0</v>
      </c>
      <c r="CH58" s="88">
        <f t="shared" si="227"/>
        <v>0</v>
      </c>
      <c r="CI58" s="88">
        <f t="shared" si="227"/>
        <v>0</v>
      </c>
      <c r="CJ58" s="88">
        <f t="shared" si="227"/>
        <v>0</v>
      </c>
      <c r="CK58" s="88">
        <f t="shared" si="227"/>
        <v>0</v>
      </c>
      <c r="CL58" s="88">
        <f t="shared" si="227"/>
        <v>0</v>
      </c>
      <c r="CM58" s="88">
        <f t="shared" si="227"/>
        <v>0</v>
      </c>
      <c r="CN58" s="88">
        <f t="shared" si="227"/>
        <v>0</v>
      </c>
      <c r="CO58" s="88">
        <f t="shared" si="227"/>
        <v>0</v>
      </c>
      <c r="CP58" s="88">
        <f t="shared" si="227"/>
        <v>0</v>
      </c>
      <c r="CQ58" s="88">
        <f t="shared" si="227"/>
        <v>0</v>
      </c>
      <c r="CR58" s="88">
        <f t="shared" si="227"/>
        <v>0</v>
      </c>
      <c r="CS58" s="88">
        <f t="shared" si="227"/>
        <v>0</v>
      </c>
      <c r="CT58" s="88">
        <f t="shared" si="227"/>
        <v>0</v>
      </c>
      <c r="CU58" s="88">
        <f t="shared" si="227"/>
        <v>0</v>
      </c>
      <c r="CV58" s="88">
        <f t="shared" si="227"/>
        <v>0</v>
      </c>
      <c r="CW58" s="88">
        <f t="shared" si="227"/>
        <v>0</v>
      </c>
      <c r="CX58" s="88">
        <f t="shared" si="227"/>
        <v>0</v>
      </c>
      <c r="CY58" s="88">
        <f t="shared" si="227"/>
        <v>0</v>
      </c>
      <c r="CZ58" s="88">
        <f t="shared" si="227"/>
        <v>0</v>
      </c>
      <c r="DA58" s="88">
        <f t="shared" si="227"/>
        <v>0</v>
      </c>
      <c r="DB58" s="88">
        <f t="shared" si="227"/>
        <v>0</v>
      </c>
      <c r="DC58" s="88">
        <f t="shared" si="227"/>
        <v>0</v>
      </c>
      <c r="DD58" s="88">
        <f t="shared" si="227"/>
        <v>0</v>
      </c>
      <c r="DE58" s="88">
        <f t="shared" si="227"/>
        <v>0</v>
      </c>
      <c r="DF58" s="88">
        <f t="shared" si="227"/>
        <v>0</v>
      </c>
      <c r="DG58" s="88">
        <f t="shared" si="227"/>
        <v>0</v>
      </c>
      <c r="DH58" s="88">
        <f t="shared" si="227"/>
        <v>0</v>
      </c>
      <c r="DI58" s="88">
        <f t="shared" si="227"/>
        <v>0</v>
      </c>
      <c r="DJ58" s="88">
        <f t="shared" si="227"/>
        <v>0</v>
      </c>
      <c r="DK58" s="88">
        <f t="shared" si="227"/>
        <v>0</v>
      </c>
      <c r="DL58" s="88">
        <f t="shared" si="227"/>
        <v>0</v>
      </c>
      <c r="DM58" s="88">
        <f t="shared" si="227"/>
        <v>0</v>
      </c>
      <c r="DN58" s="88">
        <f t="shared" si="227"/>
        <v>0</v>
      </c>
      <c r="DO58" s="88">
        <f t="shared" si="227"/>
        <v>0</v>
      </c>
      <c r="DP58" s="88">
        <f t="shared" si="227"/>
        <v>0</v>
      </c>
      <c r="DQ58" s="88">
        <f t="shared" si="227"/>
        <v>0</v>
      </c>
      <c r="DR58" s="88">
        <f t="shared" si="227"/>
        <v>0</v>
      </c>
      <c r="DS58" s="88">
        <f t="shared" si="227"/>
        <v>0</v>
      </c>
      <c r="DT58" s="88">
        <f t="shared" si="227"/>
        <v>0</v>
      </c>
      <c r="DU58" s="88">
        <f t="shared" si="227"/>
        <v>0</v>
      </c>
      <c r="DV58" s="88">
        <f t="shared" si="227"/>
        <v>0</v>
      </c>
      <c r="DW58" s="88">
        <f t="shared" si="227"/>
        <v>0</v>
      </c>
      <c r="DX58" s="88">
        <f t="shared" si="227"/>
        <v>0</v>
      </c>
      <c r="DY58" s="88">
        <f t="shared" si="227"/>
        <v>0</v>
      </c>
      <c r="DZ58" s="88">
        <f t="shared" si="227"/>
        <v>0</v>
      </c>
      <c r="EA58" s="88">
        <f t="shared" si="227"/>
        <v>0</v>
      </c>
      <c r="EB58" s="88">
        <f t="shared" ref="EB58:FZ58" si="228">SUM(EB52:EB57)</f>
        <v>0</v>
      </c>
      <c r="EC58" s="88">
        <f t="shared" si="228"/>
        <v>0</v>
      </c>
      <c r="ED58" s="88">
        <f t="shared" si="228"/>
        <v>0</v>
      </c>
      <c r="EE58" s="88">
        <f t="shared" si="228"/>
        <v>0</v>
      </c>
      <c r="EF58" s="88">
        <f t="shared" si="228"/>
        <v>0</v>
      </c>
      <c r="EG58" s="88">
        <f t="shared" si="228"/>
        <v>0</v>
      </c>
      <c r="EH58" s="88">
        <f t="shared" si="228"/>
        <v>0</v>
      </c>
      <c r="EI58" s="88">
        <f t="shared" si="228"/>
        <v>0</v>
      </c>
      <c r="EJ58" s="88">
        <f t="shared" si="228"/>
        <v>0</v>
      </c>
      <c r="EK58" s="88">
        <f t="shared" si="228"/>
        <v>0</v>
      </c>
      <c r="EL58" s="88">
        <f t="shared" si="228"/>
        <v>0</v>
      </c>
      <c r="EM58" s="88">
        <f t="shared" si="228"/>
        <v>0</v>
      </c>
      <c r="EN58" s="88">
        <f t="shared" si="228"/>
        <v>0</v>
      </c>
      <c r="EO58" s="88">
        <f t="shared" si="228"/>
        <v>0</v>
      </c>
      <c r="EP58" s="88">
        <f t="shared" si="228"/>
        <v>0</v>
      </c>
      <c r="EQ58" s="88">
        <f t="shared" si="228"/>
        <v>0</v>
      </c>
      <c r="ER58" s="88">
        <f t="shared" si="228"/>
        <v>0</v>
      </c>
      <c r="ES58" s="88">
        <f t="shared" si="228"/>
        <v>0</v>
      </c>
      <c r="ET58" s="88">
        <f t="shared" si="228"/>
        <v>0</v>
      </c>
      <c r="EU58" s="88">
        <f t="shared" si="228"/>
        <v>0</v>
      </c>
      <c r="EV58" s="88">
        <f t="shared" si="228"/>
        <v>0</v>
      </c>
      <c r="EW58" s="88">
        <f t="shared" si="228"/>
        <v>0</v>
      </c>
      <c r="EX58" s="88">
        <f t="shared" si="228"/>
        <v>0</v>
      </c>
      <c r="EY58" s="88">
        <f t="shared" si="228"/>
        <v>0</v>
      </c>
      <c r="EZ58" s="88">
        <f t="shared" si="228"/>
        <v>0</v>
      </c>
      <c r="FA58" s="88">
        <f t="shared" si="228"/>
        <v>0</v>
      </c>
      <c r="FB58" s="88">
        <f t="shared" si="228"/>
        <v>0</v>
      </c>
      <c r="FC58" s="88">
        <f t="shared" si="228"/>
        <v>0</v>
      </c>
      <c r="FD58" s="88">
        <f t="shared" si="228"/>
        <v>0</v>
      </c>
      <c r="FE58" s="88">
        <f t="shared" si="228"/>
        <v>0</v>
      </c>
      <c r="FF58" s="88">
        <f t="shared" si="228"/>
        <v>0</v>
      </c>
      <c r="FG58" s="88">
        <f t="shared" si="228"/>
        <v>0</v>
      </c>
      <c r="FH58" s="88">
        <f t="shared" si="228"/>
        <v>0</v>
      </c>
      <c r="FI58" s="88">
        <f t="shared" si="228"/>
        <v>0</v>
      </c>
      <c r="FJ58" s="88">
        <f t="shared" si="228"/>
        <v>0</v>
      </c>
      <c r="FK58" s="88">
        <f t="shared" si="228"/>
        <v>0</v>
      </c>
      <c r="FL58" s="88">
        <f t="shared" si="228"/>
        <v>0</v>
      </c>
      <c r="FM58" s="88">
        <f t="shared" si="228"/>
        <v>0</v>
      </c>
      <c r="FN58" s="88">
        <f t="shared" si="228"/>
        <v>0</v>
      </c>
      <c r="FO58" s="88">
        <f t="shared" si="228"/>
        <v>0</v>
      </c>
      <c r="FP58" s="88">
        <f t="shared" si="228"/>
        <v>0</v>
      </c>
      <c r="FQ58" s="88">
        <f t="shared" si="228"/>
        <v>0</v>
      </c>
      <c r="FR58" s="88">
        <f t="shared" si="228"/>
        <v>0</v>
      </c>
      <c r="FS58" s="88">
        <f t="shared" si="228"/>
        <v>0</v>
      </c>
      <c r="FT58" s="88">
        <f t="shared" si="228"/>
        <v>0</v>
      </c>
      <c r="FU58" s="88">
        <f t="shared" si="228"/>
        <v>0</v>
      </c>
      <c r="FV58" s="88">
        <f t="shared" si="228"/>
        <v>0</v>
      </c>
      <c r="FW58" s="88">
        <f t="shared" si="228"/>
        <v>0</v>
      </c>
      <c r="FX58" s="88">
        <f t="shared" si="228"/>
        <v>0</v>
      </c>
      <c r="FY58" s="88">
        <f t="shared" si="228"/>
        <v>0</v>
      </c>
      <c r="FZ58" s="89">
        <f t="shared" si="228"/>
        <v>0</v>
      </c>
    </row>
    <row r="60" spans="2:182" x14ac:dyDescent="0.2">
      <c r="B60" s="74" t="s">
        <v>134</v>
      </c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6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  <c r="FJ60" s="19"/>
      <c r="FK60" s="19"/>
      <c r="FL60" s="19"/>
      <c r="FM60" s="19"/>
      <c r="FN60" s="19"/>
      <c r="FO60" s="19"/>
      <c r="FP60" s="19"/>
      <c r="FQ60" s="19"/>
      <c r="FR60" s="19"/>
      <c r="FS60" s="19"/>
      <c r="FT60" s="19"/>
      <c r="FU60" s="19"/>
      <c r="FV60" s="19"/>
      <c r="FW60" s="19"/>
      <c r="FX60" s="19"/>
      <c r="FY60" s="19"/>
      <c r="FZ60" s="19"/>
    </row>
    <row r="61" spans="2:182" x14ac:dyDescent="0.2">
      <c r="B61" s="77" t="s">
        <v>87</v>
      </c>
      <c r="C61" s="78">
        <f>ROUNDUP(C62/12,0)</f>
        <v>1</v>
      </c>
      <c r="D61" s="78">
        <f t="shared" ref="D61:BO61" si="229">ROUNDUP(D62/12,0)</f>
        <v>1</v>
      </c>
      <c r="E61" s="78">
        <f t="shared" si="229"/>
        <v>1</v>
      </c>
      <c r="F61" s="78">
        <f t="shared" si="229"/>
        <v>1</v>
      </c>
      <c r="G61" s="78">
        <f t="shared" si="229"/>
        <v>1</v>
      </c>
      <c r="H61" s="78">
        <f t="shared" si="229"/>
        <v>1</v>
      </c>
      <c r="I61" s="78">
        <f t="shared" si="229"/>
        <v>1</v>
      </c>
      <c r="J61" s="78">
        <f t="shared" si="229"/>
        <v>1</v>
      </c>
      <c r="K61" s="78">
        <f t="shared" si="229"/>
        <v>1</v>
      </c>
      <c r="L61" s="78">
        <f t="shared" si="229"/>
        <v>1</v>
      </c>
      <c r="M61" s="78">
        <f t="shared" si="229"/>
        <v>1</v>
      </c>
      <c r="N61" s="78">
        <f t="shared" si="229"/>
        <v>1</v>
      </c>
      <c r="O61" s="78">
        <f t="shared" si="229"/>
        <v>2</v>
      </c>
      <c r="P61" s="78">
        <f t="shared" si="229"/>
        <v>2</v>
      </c>
      <c r="Q61" s="78">
        <f t="shared" si="229"/>
        <v>2</v>
      </c>
      <c r="R61" s="78">
        <f t="shared" si="229"/>
        <v>2</v>
      </c>
      <c r="S61" s="78">
        <f t="shared" si="229"/>
        <v>2</v>
      </c>
      <c r="T61" s="78">
        <f t="shared" si="229"/>
        <v>2</v>
      </c>
      <c r="U61" s="78">
        <f t="shared" si="229"/>
        <v>2</v>
      </c>
      <c r="V61" s="78">
        <f t="shared" si="229"/>
        <v>2</v>
      </c>
      <c r="W61" s="78">
        <f t="shared" si="229"/>
        <v>2</v>
      </c>
      <c r="X61" s="78">
        <f t="shared" si="229"/>
        <v>2</v>
      </c>
      <c r="Y61" s="78">
        <f t="shared" si="229"/>
        <v>2</v>
      </c>
      <c r="Z61" s="78">
        <f t="shared" si="229"/>
        <v>2</v>
      </c>
      <c r="AA61" s="78">
        <f t="shared" si="229"/>
        <v>3</v>
      </c>
      <c r="AB61" s="78">
        <f t="shared" si="229"/>
        <v>3</v>
      </c>
      <c r="AC61" s="78">
        <f t="shared" si="229"/>
        <v>3</v>
      </c>
      <c r="AD61" s="78">
        <f t="shared" si="229"/>
        <v>3</v>
      </c>
      <c r="AE61" s="78">
        <f t="shared" si="229"/>
        <v>3</v>
      </c>
      <c r="AF61" s="78">
        <f t="shared" si="229"/>
        <v>3</v>
      </c>
      <c r="AG61" s="78">
        <f t="shared" si="229"/>
        <v>3</v>
      </c>
      <c r="AH61" s="78">
        <f t="shared" si="229"/>
        <v>3</v>
      </c>
      <c r="AI61" s="78">
        <f t="shared" si="229"/>
        <v>3</v>
      </c>
      <c r="AJ61" s="78">
        <f t="shared" si="229"/>
        <v>3</v>
      </c>
      <c r="AK61" s="78">
        <f t="shared" si="229"/>
        <v>3</v>
      </c>
      <c r="AL61" s="78">
        <f t="shared" si="229"/>
        <v>3</v>
      </c>
      <c r="AM61" s="78">
        <f t="shared" si="229"/>
        <v>4</v>
      </c>
      <c r="AN61" s="78">
        <f t="shared" si="229"/>
        <v>4</v>
      </c>
      <c r="AO61" s="78">
        <f t="shared" si="229"/>
        <v>4</v>
      </c>
      <c r="AP61" s="78">
        <f t="shared" si="229"/>
        <v>4</v>
      </c>
      <c r="AQ61" s="78">
        <f t="shared" si="229"/>
        <v>4</v>
      </c>
      <c r="AR61" s="78">
        <f t="shared" si="229"/>
        <v>4</v>
      </c>
      <c r="AS61" s="78">
        <f t="shared" si="229"/>
        <v>4</v>
      </c>
      <c r="AT61" s="78">
        <f t="shared" si="229"/>
        <v>4</v>
      </c>
      <c r="AU61" s="78">
        <f t="shared" si="229"/>
        <v>4</v>
      </c>
      <c r="AV61" s="78">
        <f t="shared" si="229"/>
        <v>4</v>
      </c>
      <c r="AW61" s="78">
        <f t="shared" si="229"/>
        <v>4</v>
      </c>
      <c r="AX61" s="78">
        <f t="shared" si="229"/>
        <v>4</v>
      </c>
      <c r="AY61" s="78">
        <f t="shared" si="229"/>
        <v>5</v>
      </c>
      <c r="AZ61" s="78">
        <f t="shared" si="229"/>
        <v>5</v>
      </c>
      <c r="BA61" s="78">
        <f t="shared" si="229"/>
        <v>5</v>
      </c>
      <c r="BB61" s="78">
        <f t="shared" si="229"/>
        <v>5</v>
      </c>
      <c r="BC61" s="78">
        <f t="shared" si="229"/>
        <v>5</v>
      </c>
      <c r="BD61" s="78">
        <f t="shared" si="229"/>
        <v>5</v>
      </c>
      <c r="BE61" s="78">
        <f t="shared" si="229"/>
        <v>5</v>
      </c>
      <c r="BF61" s="78">
        <f t="shared" si="229"/>
        <v>5</v>
      </c>
      <c r="BG61" s="78">
        <f t="shared" si="229"/>
        <v>5</v>
      </c>
      <c r="BH61" s="78">
        <f t="shared" si="229"/>
        <v>5</v>
      </c>
      <c r="BI61" s="78">
        <f t="shared" si="229"/>
        <v>5</v>
      </c>
      <c r="BJ61" s="78">
        <f t="shared" si="229"/>
        <v>5</v>
      </c>
      <c r="BK61" s="78">
        <f t="shared" si="229"/>
        <v>6</v>
      </c>
      <c r="BL61" s="78">
        <f t="shared" si="229"/>
        <v>6</v>
      </c>
      <c r="BM61" s="78">
        <f t="shared" si="229"/>
        <v>6</v>
      </c>
      <c r="BN61" s="78">
        <f t="shared" si="229"/>
        <v>6</v>
      </c>
      <c r="BO61" s="78">
        <f t="shared" si="229"/>
        <v>6</v>
      </c>
      <c r="BP61" s="78">
        <f t="shared" ref="BP61:EA61" si="230">ROUNDUP(BP62/12,0)</f>
        <v>6</v>
      </c>
      <c r="BQ61" s="78">
        <f t="shared" si="230"/>
        <v>6</v>
      </c>
      <c r="BR61" s="78">
        <f t="shared" si="230"/>
        <v>6</v>
      </c>
      <c r="BS61" s="78">
        <f t="shared" si="230"/>
        <v>6</v>
      </c>
      <c r="BT61" s="78">
        <f t="shared" si="230"/>
        <v>6</v>
      </c>
      <c r="BU61" s="78">
        <f t="shared" si="230"/>
        <v>6</v>
      </c>
      <c r="BV61" s="78">
        <f t="shared" si="230"/>
        <v>6</v>
      </c>
      <c r="BW61" s="78">
        <f t="shared" si="230"/>
        <v>7</v>
      </c>
      <c r="BX61" s="78">
        <f t="shared" si="230"/>
        <v>7</v>
      </c>
      <c r="BY61" s="78">
        <f t="shared" si="230"/>
        <v>7</v>
      </c>
      <c r="BZ61" s="78">
        <f t="shared" si="230"/>
        <v>7</v>
      </c>
      <c r="CA61" s="78">
        <f t="shared" si="230"/>
        <v>7</v>
      </c>
      <c r="CB61" s="78">
        <f t="shared" si="230"/>
        <v>7</v>
      </c>
      <c r="CC61" s="78">
        <f t="shared" si="230"/>
        <v>7</v>
      </c>
      <c r="CD61" s="78">
        <f t="shared" si="230"/>
        <v>7</v>
      </c>
      <c r="CE61" s="78">
        <f t="shared" si="230"/>
        <v>7</v>
      </c>
      <c r="CF61" s="78">
        <f t="shared" si="230"/>
        <v>7</v>
      </c>
      <c r="CG61" s="78">
        <f t="shared" si="230"/>
        <v>7</v>
      </c>
      <c r="CH61" s="78">
        <f t="shared" si="230"/>
        <v>7</v>
      </c>
      <c r="CI61" s="78">
        <f t="shared" si="230"/>
        <v>8</v>
      </c>
      <c r="CJ61" s="78">
        <f t="shared" si="230"/>
        <v>8</v>
      </c>
      <c r="CK61" s="78">
        <f t="shared" si="230"/>
        <v>8</v>
      </c>
      <c r="CL61" s="78">
        <f t="shared" si="230"/>
        <v>8</v>
      </c>
      <c r="CM61" s="78">
        <f t="shared" si="230"/>
        <v>8</v>
      </c>
      <c r="CN61" s="78">
        <f t="shared" si="230"/>
        <v>8</v>
      </c>
      <c r="CO61" s="78">
        <f t="shared" si="230"/>
        <v>8</v>
      </c>
      <c r="CP61" s="78">
        <f t="shared" si="230"/>
        <v>8</v>
      </c>
      <c r="CQ61" s="78">
        <f t="shared" si="230"/>
        <v>8</v>
      </c>
      <c r="CR61" s="78">
        <f t="shared" si="230"/>
        <v>8</v>
      </c>
      <c r="CS61" s="78">
        <f t="shared" si="230"/>
        <v>8</v>
      </c>
      <c r="CT61" s="78">
        <f t="shared" si="230"/>
        <v>8</v>
      </c>
      <c r="CU61" s="78">
        <f t="shared" si="230"/>
        <v>9</v>
      </c>
      <c r="CV61" s="78">
        <f t="shared" si="230"/>
        <v>9</v>
      </c>
      <c r="CW61" s="78">
        <f t="shared" si="230"/>
        <v>9</v>
      </c>
      <c r="CX61" s="78">
        <f t="shared" si="230"/>
        <v>9</v>
      </c>
      <c r="CY61" s="78">
        <f t="shared" si="230"/>
        <v>9</v>
      </c>
      <c r="CZ61" s="78">
        <f t="shared" si="230"/>
        <v>9</v>
      </c>
      <c r="DA61" s="78">
        <f t="shared" si="230"/>
        <v>9</v>
      </c>
      <c r="DB61" s="78">
        <f t="shared" si="230"/>
        <v>9</v>
      </c>
      <c r="DC61" s="78">
        <f t="shared" si="230"/>
        <v>9</v>
      </c>
      <c r="DD61" s="78">
        <f t="shared" si="230"/>
        <v>9</v>
      </c>
      <c r="DE61" s="78">
        <f t="shared" si="230"/>
        <v>9</v>
      </c>
      <c r="DF61" s="78">
        <f t="shared" si="230"/>
        <v>9</v>
      </c>
      <c r="DG61" s="78">
        <f t="shared" si="230"/>
        <v>10</v>
      </c>
      <c r="DH61" s="78">
        <f t="shared" si="230"/>
        <v>10</v>
      </c>
      <c r="DI61" s="78">
        <f t="shared" si="230"/>
        <v>10</v>
      </c>
      <c r="DJ61" s="78">
        <f t="shared" si="230"/>
        <v>10</v>
      </c>
      <c r="DK61" s="78">
        <f t="shared" si="230"/>
        <v>10</v>
      </c>
      <c r="DL61" s="78">
        <f t="shared" si="230"/>
        <v>10</v>
      </c>
      <c r="DM61" s="78">
        <f t="shared" si="230"/>
        <v>10</v>
      </c>
      <c r="DN61" s="78">
        <f t="shared" si="230"/>
        <v>10</v>
      </c>
      <c r="DO61" s="78">
        <f t="shared" si="230"/>
        <v>10</v>
      </c>
      <c r="DP61" s="78">
        <f t="shared" si="230"/>
        <v>10</v>
      </c>
      <c r="DQ61" s="78">
        <f t="shared" si="230"/>
        <v>10</v>
      </c>
      <c r="DR61" s="78">
        <f t="shared" si="230"/>
        <v>10</v>
      </c>
      <c r="DS61" s="78">
        <f t="shared" si="230"/>
        <v>11</v>
      </c>
      <c r="DT61" s="78">
        <f t="shared" si="230"/>
        <v>11</v>
      </c>
      <c r="DU61" s="78">
        <f t="shared" si="230"/>
        <v>11</v>
      </c>
      <c r="DV61" s="78">
        <f t="shared" si="230"/>
        <v>11</v>
      </c>
      <c r="DW61" s="78">
        <f t="shared" si="230"/>
        <v>11</v>
      </c>
      <c r="DX61" s="78">
        <f t="shared" si="230"/>
        <v>11</v>
      </c>
      <c r="DY61" s="78">
        <f t="shared" si="230"/>
        <v>11</v>
      </c>
      <c r="DZ61" s="78">
        <f t="shared" si="230"/>
        <v>11</v>
      </c>
      <c r="EA61" s="78">
        <f t="shared" si="230"/>
        <v>11</v>
      </c>
      <c r="EB61" s="78">
        <f t="shared" ref="EB61:FZ61" si="231">ROUNDUP(EB62/12,0)</f>
        <v>11</v>
      </c>
      <c r="EC61" s="78">
        <f t="shared" si="231"/>
        <v>11</v>
      </c>
      <c r="ED61" s="78">
        <f t="shared" si="231"/>
        <v>11</v>
      </c>
      <c r="EE61" s="78">
        <f t="shared" si="231"/>
        <v>12</v>
      </c>
      <c r="EF61" s="78">
        <f t="shared" si="231"/>
        <v>12</v>
      </c>
      <c r="EG61" s="78">
        <f t="shared" si="231"/>
        <v>12</v>
      </c>
      <c r="EH61" s="78">
        <f t="shared" si="231"/>
        <v>12</v>
      </c>
      <c r="EI61" s="78">
        <f t="shared" si="231"/>
        <v>12</v>
      </c>
      <c r="EJ61" s="78">
        <f t="shared" si="231"/>
        <v>12</v>
      </c>
      <c r="EK61" s="78">
        <f t="shared" si="231"/>
        <v>12</v>
      </c>
      <c r="EL61" s="78">
        <f t="shared" si="231"/>
        <v>12</v>
      </c>
      <c r="EM61" s="78">
        <f t="shared" si="231"/>
        <v>12</v>
      </c>
      <c r="EN61" s="78">
        <f t="shared" si="231"/>
        <v>12</v>
      </c>
      <c r="EO61" s="78">
        <f t="shared" si="231"/>
        <v>12</v>
      </c>
      <c r="EP61" s="78">
        <f t="shared" si="231"/>
        <v>12</v>
      </c>
      <c r="EQ61" s="78">
        <f t="shared" si="231"/>
        <v>13</v>
      </c>
      <c r="ER61" s="78">
        <f t="shared" si="231"/>
        <v>13</v>
      </c>
      <c r="ES61" s="78">
        <f t="shared" si="231"/>
        <v>13</v>
      </c>
      <c r="ET61" s="78">
        <f t="shared" si="231"/>
        <v>13</v>
      </c>
      <c r="EU61" s="78">
        <f t="shared" si="231"/>
        <v>13</v>
      </c>
      <c r="EV61" s="78">
        <f t="shared" si="231"/>
        <v>13</v>
      </c>
      <c r="EW61" s="78">
        <f t="shared" si="231"/>
        <v>13</v>
      </c>
      <c r="EX61" s="78">
        <f t="shared" si="231"/>
        <v>13</v>
      </c>
      <c r="EY61" s="78">
        <f t="shared" si="231"/>
        <v>13</v>
      </c>
      <c r="EZ61" s="78">
        <f t="shared" si="231"/>
        <v>13</v>
      </c>
      <c r="FA61" s="78">
        <f t="shared" si="231"/>
        <v>13</v>
      </c>
      <c r="FB61" s="78">
        <f t="shared" si="231"/>
        <v>13</v>
      </c>
      <c r="FC61" s="78">
        <f t="shared" si="231"/>
        <v>14</v>
      </c>
      <c r="FD61" s="78">
        <f t="shared" si="231"/>
        <v>14</v>
      </c>
      <c r="FE61" s="78">
        <f t="shared" si="231"/>
        <v>14</v>
      </c>
      <c r="FF61" s="78">
        <f t="shared" si="231"/>
        <v>14</v>
      </c>
      <c r="FG61" s="78">
        <f t="shared" si="231"/>
        <v>14</v>
      </c>
      <c r="FH61" s="78">
        <f t="shared" si="231"/>
        <v>14</v>
      </c>
      <c r="FI61" s="78">
        <f t="shared" si="231"/>
        <v>14</v>
      </c>
      <c r="FJ61" s="78">
        <f t="shared" si="231"/>
        <v>14</v>
      </c>
      <c r="FK61" s="78">
        <f t="shared" si="231"/>
        <v>14</v>
      </c>
      <c r="FL61" s="78">
        <f t="shared" si="231"/>
        <v>14</v>
      </c>
      <c r="FM61" s="78">
        <f t="shared" si="231"/>
        <v>14</v>
      </c>
      <c r="FN61" s="78">
        <f t="shared" si="231"/>
        <v>14</v>
      </c>
      <c r="FO61" s="78">
        <f t="shared" si="231"/>
        <v>15</v>
      </c>
      <c r="FP61" s="78">
        <f t="shared" si="231"/>
        <v>15</v>
      </c>
      <c r="FQ61" s="78">
        <f t="shared" si="231"/>
        <v>15</v>
      </c>
      <c r="FR61" s="78">
        <f t="shared" si="231"/>
        <v>15</v>
      </c>
      <c r="FS61" s="78">
        <f t="shared" si="231"/>
        <v>15</v>
      </c>
      <c r="FT61" s="78">
        <f t="shared" si="231"/>
        <v>15</v>
      </c>
      <c r="FU61" s="78">
        <f t="shared" si="231"/>
        <v>15</v>
      </c>
      <c r="FV61" s="78">
        <f t="shared" si="231"/>
        <v>15</v>
      </c>
      <c r="FW61" s="78">
        <f t="shared" si="231"/>
        <v>15</v>
      </c>
      <c r="FX61" s="78">
        <f t="shared" si="231"/>
        <v>15</v>
      </c>
      <c r="FY61" s="78">
        <f t="shared" si="231"/>
        <v>15</v>
      </c>
      <c r="FZ61" s="79">
        <f t="shared" si="231"/>
        <v>15</v>
      </c>
    </row>
    <row r="62" spans="2:182" x14ac:dyDescent="0.2">
      <c r="B62" s="80" t="s">
        <v>130</v>
      </c>
      <c r="C62" s="81">
        <v>1</v>
      </c>
      <c r="D62" s="81">
        <f>C62+1</f>
        <v>2</v>
      </c>
      <c r="E62" s="81">
        <f t="shared" ref="E62:BP62" si="232">D62+1</f>
        <v>3</v>
      </c>
      <c r="F62" s="81">
        <f t="shared" si="232"/>
        <v>4</v>
      </c>
      <c r="G62" s="81">
        <f t="shared" si="232"/>
        <v>5</v>
      </c>
      <c r="H62" s="81">
        <f t="shared" si="232"/>
        <v>6</v>
      </c>
      <c r="I62" s="81">
        <f t="shared" si="232"/>
        <v>7</v>
      </c>
      <c r="J62" s="81">
        <f t="shared" si="232"/>
        <v>8</v>
      </c>
      <c r="K62" s="81">
        <f t="shared" si="232"/>
        <v>9</v>
      </c>
      <c r="L62" s="81">
        <f t="shared" si="232"/>
        <v>10</v>
      </c>
      <c r="M62" s="81">
        <f t="shared" si="232"/>
        <v>11</v>
      </c>
      <c r="N62" s="81">
        <f t="shared" si="232"/>
        <v>12</v>
      </c>
      <c r="O62" s="81">
        <f t="shared" si="232"/>
        <v>13</v>
      </c>
      <c r="P62" s="81">
        <f t="shared" si="232"/>
        <v>14</v>
      </c>
      <c r="Q62" s="81">
        <f t="shared" si="232"/>
        <v>15</v>
      </c>
      <c r="R62" s="81">
        <f t="shared" si="232"/>
        <v>16</v>
      </c>
      <c r="S62" s="81">
        <f t="shared" si="232"/>
        <v>17</v>
      </c>
      <c r="T62" s="81">
        <f t="shared" si="232"/>
        <v>18</v>
      </c>
      <c r="U62" s="81">
        <f t="shared" si="232"/>
        <v>19</v>
      </c>
      <c r="V62" s="81">
        <f t="shared" si="232"/>
        <v>20</v>
      </c>
      <c r="W62" s="81">
        <f t="shared" si="232"/>
        <v>21</v>
      </c>
      <c r="X62" s="81">
        <f t="shared" si="232"/>
        <v>22</v>
      </c>
      <c r="Y62" s="81">
        <f t="shared" si="232"/>
        <v>23</v>
      </c>
      <c r="Z62" s="81">
        <f t="shared" si="232"/>
        <v>24</v>
      </c>
      <c r="AA62" s="81">
        <f t="shared" si="232"/>
        <v>25</v>
      </c>
      <c r="AB62" s="81">
        <f t="shared" si="232"/>
        <v>26</v>
      </c>
      <c r="AC62" s="81">
        <f t="shared" si="232"/>
        <v>27</v>
      </c>
      <c r="AD62" s="81">
        <f t="shared" si="232"/>
        <v>28</v>
      </c>
      <c r="AE62" s="81">
        <f t="shared" si="232"/>
        <v>29</v>
      </c>
      <c r="AF62" s="81">
        <f t="shared" si="232"/>
        <v>30</v>
      </c>
      <c r="AG62" s="81">
        <f t="shared" si="232"/>
        <v>31</v>
      </c>
      <c r="AH62" s="81">
        <f t="shared" si="232"/>
        <v>32</v>
      </c>
      <c r="AI62" s="81">
        <f t="shared" si="232"/>
        <v>33</v>
      </c>
      <c r="AJ62" s="81">
        <f t="shared" si="232"/>
        <v>34</v>
      </c>
      <c r="AK62" s="81">
        <f t="shared" si="232"/>
        <v>35</v>
      </c>
      <c r="AL62" s="81">
        <f t="shared" si="232"/>
        <v>36</v>
      </c>
      <c r="AM62" s="81">
        <f t="shared" si="232"/>
        <v>37</v>
      </c>
      <c r="AN62" s="81">
        <f t="shared" si="232"/>
        <v>38</v>
      </c>
      <c r="AO62" s="81">
        <f t="shared" si="232"/>
        <v>39</v>
      </c>
      <c r="AP62" s="81">
        <f t="shared" si="232"/>
        <v>40</v>
      </c>
      <c r="AQ62" s="81">
        <f t="shared" si="232"/>
        <v>41</v>
      </c>
      <c r="AR62" s="81">
        <f t="shared" si="232"/>
        <v>42</v>
      </c>
      <c r="AS62" s="81">
        <f t="shared" si="232"/>
        <v>43</v>
      </c>
      <c r="AT62" s="81">
        <f t="shared" si="232"/>
        <v>44</v>
      </c>
      <c r="AU62" s="81">
        <f t="shared" si="232"/>
        <v>45</v>
      </c>
      <c r="AV62" s="81">
        <f t="shared" si="232"/>
        <v>46</v>
      </c>
      <c r="AW62" s="81">
        <f t="shared" si="232"/>
        <v>47</v>
      </c>
      <c r="AX62" s="81">
        <f t="shared" si="232"/>
        <v>48</v>
      </c>
      <c r="AY62" s="81">
        <f t="shared" si="232"/>
        <v>49</v>
      </c>
      <c r="AZ62" s="81">
        <f t="shared" si="232"/>
        <v>50</v>
      </c>
      <c r="BA62" s="81">
        <f t="shared" si="232"/>
        <v>51</v>
      </c>
      <c r="BB62" s="81">
        <f t="shared" si="232"/>
        <v>52</v>
      </c>
      <c r="BC62" s="81">
        <f t="shared" si="232"/>
        <v>53</v>
      </c>
      <c r="BD62" s="81">
        <f t="shared" si="232"/>
        <v>54</v>
      </c>
      <c r="BE62" s="81">
        <f t="shared" si="232"/>
        <v>55</v>
      </c>
      <c r="BF62" s="81">
        <f t="shared" si="232"/>
        <v>56</v>
      </c>
      <c r="BG62" s="81">
        <f t="shared" si="232"/>
        <v>57</v>
      </c>
      <c r="BH62" s="81">
        <f t="shared" si="232"/>
        <v>58</v>
      </c>
      <c r="BI62" s="81">
        <f t="shared" si="232"/>
        <v>59</v>
      </c>
      <c r="BJ62" s="81">
        <f t="shared" si="232"/>
        <v>60</v>
      </c>
      <c r="BK62" s="81">
        <f t="shared" si="232"/>
        <v>61</v>
      </c>
      <c r="BL62" s="81">
        <f t="shared" si="232"/>
        <v>62</v>
      </c>
      <c r="BM62" s="81">
        <f t="shared" si="232"/>
        <v>63</v>
      </c>
      <c r="BN62" s="81">
        <f t="shared" si="232"/>
        <v>64</v>
      </c>
      <c r="BO62" s="81">
        <f t="shared" si="232"/>
        <v>65</v>
      </c>
      <c r="BP62" s="81">
        <f t="shared" si="232"/>
        <v>66</v>
      </c>
      <c r="BQ62" s="81">
        <f t="shared" ref="BQ62:EB62" si="233">BP62+1</f>
        <v>67</v>
      </c>
      <c r="BR62" s="81">
        <f t="shared" si="233"/>
        <v>68</v>
      </c>
      <c r="BS62" s="81">
        <f t="shared" si="233"/>
        <v>69</v>
      </c>
      <c r="BT62" s="81">
        <f t="shared" si="233"/>
        <v>70</v>
      </c>
      <c r="BU62" s="81">
        <f t="shared" si="233"/>
        <v>71</v>
      </c>
      <c r="BV62" s="81">
        <f t="shared" si="233"/>
        <v>72</v>
      </c>
      <c r="BW62" s="81">
        <f t="shared" si="233"/>
        <v>73</v>
      </c>
      <c r="BX62" s="81">
        <f t="shared" si="233"/>
        <v>74</v>
      </c>
      <c r="BY62" s="81">
        <f t="shared" si="233"/>
        <v>75</v>
      </c>
      <c r="BZ62" s="81">
        <f t="shared" si="233"/>
        <v>76</v>
      </c>
      <c r="CA62" s="81">
        <f t="shared" si="233"/>
        <v>77</v>
      </c>
      <c r="CB62" s="81">
        <f t="shared" si="233"/>
        <v>78</v>
      </c>
      <c r="CC62" s="81">
        <f t="shared" si="233"/>
        <v>79</v>
      </c>
      <c r="CD62" s="81">
        <f t="shared" si="233"/>
        <v>80</v>
      </c>
      <c r="CE62" s="81">
        <f t="shared" si="233"/>
        <v>81</v>
      </c>
      <c r="CF62" s="81">
        <f t="shared" si="233"/>
        <v>82</v>
      </c>
      <c r="CG62" s="81">
        <f t="shared" si="233"/>
        <v>83</v>
      </c>
      <c r="CH62" s="81">
        <f t="shared" si="233"/>
        <v>84</v>
      </c>
      <c r="CI62" s="81">
        <f t="shared" si="233"/>
        <v>85</v>
      </c>
      <c r="CJ62" s="81">
        <f t="shared" si="233"/>
        <v>86</v>
      </c>
      <c r="CK62" s="81">
        <f t="shared" si="233"/>
        <v>87</v>
      </c>
      <c r="CL62" s="81">
        <f t="shared" si="233"/>
        <v>88</v>
      </c>
      <c r="CM62" s="81">
        <f t="shared" si="233"/>
        <v>89</v>
      </c>
      <c r="CN62" s="81">
        <f t="shared" si="233"/>
        <v>90</v>
      </c>
      <c r="CO62" s="81">
        <f t="shared" si="233"/>
        <v>91</v>
      </c>
      <c r="CP62" s="81">
        <f t="shared" si="233"/>
        <v>92</v>
      </c>
      <c r="CQ62" s="81">
        <f t="shared" si="233"/>
        <v>93</v>
      </c>
      <c r="CR62" s="81">
        <f t="shared" si="233"/>
        <v>94</v>
      </c>
      <c r="CS62" s="81">
        <f t="shared" si="233"/>
        <v>95</v>
      </c>
      <c r="CT62" s="81">
        <f t="shared" si="233"/>
        <v>96</v>
      </c>
      <c r="CU62" s="81">
        <f t="shared" si="233"/>
        <v>97</v>
      </c>
      <c r="CV62" s="81">
        <f t="shared" si="233"/>
        <v>98</v>
      </c>
      <c r="CW62" s="81">
        <f t="shared" si="233"/>
        <v>99</v>
      </c>
      <c r="CX62" s="81">
        <f t="shared" si="233"/>
        <v>100</v>
      </c>
      <c r="CY62" s="81">
        <f t="shared" si="233"/>
        <v>101</v>
      </c>
      <c r="CZ62" s="81">
        <f t="shared" si="233"/>
        <v>102</v>
      </c>
      <c r="DA62" s="81">
        <f t="shared" si="233"/>
        <v>103</v>
      </c>
      <c r="DB62" s="81">
        <f t="shared" si="233"/>
        <v>104</v>
      </c>
      <c r="DC62" s="81">
        <f t="shared" si="233"/>
        <v>105</v>
      </c>
      <c r="DD62" s="81">
        <f t="shared" si="233"/>
        <v>106</v>
      </c>
      <c r="DE62" s="81">
        <f t="shared" si="233"/>
        <v>107</v>
      </c>
      <c r="DF62" s="81">
        <f t="shared" si="233"/>
        <v>108</v>
      </c>
      <c r="DG62" s="81">
        <f t="shared" si="233"/>
        <v>109</v>
      </c>
      <c r="DH62" s="81">
        <f t="shared" si="233"/>
        <v>110</v>
      </c>
      <c r="DI62" s="81">
        <f t="shared" si="233"/>
        <v>111</v>
      </c>
      <c r="DJ62" s="81">
        <f t="shared" si="233"/>
        <v>112</v>
      </c>
      <c r="DK62" s="81">
        <f t="shared" si="233"/>
        <v>113</v>
      </c>
      <c r="DL62" s="81">
        <f t="shared" si="233"/>
        <v>114</v>
      </c>
      <c r="DM62" s="81">
        <f t="shared" si="233"/>
        <v>115</v>
      </c>
      <c r="DN62" s="81">
        <f t="shared" si="233"/>
        <v>116</v>
      </c>
      <c r="DO62" s="81">
        <f t="shared" si="233"/>
        <v>117</v>
      </c>
      <c r="DP62" s="81">
        <f t="shared" si="233"/>
        <v>118</v>
      </c>
      <c r="DQ62" s="81">
        <f t="shared" si="233"/>
        <v>119</v>
      </c>
      <c r="DR62" s="81">
        <f t="shared" si="233"/>
        <v>120</v>
      </c>
      <c r="DS62" s="81">
        <f t="shared" si="233"/>
        <v>121</v>
      </c>
      <c r="DT62" s="81">
        <f t="shared" si="233"/>
        <v>122</v>
      </c>
      <c r="DU62" s="81">
        <f t="shared" si="233"/>
        <v>123</v>
      </c>
      <c r="DV62" s="81">
        <f t="shared" si="233"/>
        <v>124</v>
      </c>
      <c r="DW62" s="81">
        <f t="shared" si="233"/>
        <v>125</v>
      </c>
      <c r="DX62" s="81">
        <f t="shared" si="233"/>
        <v>126</v>
      </c>
      <c r="DY62" s="81">
        <f t="shared" si="233"/>
        <v>127</v>
      </c>
      <c r="DZ62" s="81">
        <f t="shared" si="233"/>
        <v>128</v>
      </c>
      <c r="EA62" s="81">
        <f t="shared" si="233"/>
        <v>129</v>
      </c>
      <c r="EB62" s="81">
        <f t="shared" si="233"/>
        <v>130</v>
      </c>
      <c r="EC62" s="81">
        <f t="shared" ref="EC62:FZ62" si="234">EB62+1</f>
        <v>131</v>
      </c>
      <c r="ED62" s="81">
        <f t="shared" si="234"/>
        <v>132</v>
      </c>
      <c r="EE62" s="81">
        <f t="shared" si="234"/>
        <v>133</v>
      </c>
      <c r="EF62" s="81">
        <f t="shared" si="234"/>
        <v>134</v>
      </c>
      <c r="EG62" s="81">
        <f t="shared" si="234"/>
        <v>135</v>
      </c>
      <c r="EH62" s="81">
        <f t="shared" si="234"/>
        <v>136</v>
      </c>
      <c r="EI62" s="81">
        <f t="shared" si="234"/>
        <v>137</v>
      </c>
      <c r="EJ62" s="81">
        <f t="shared" si="234"/>
        <v>138</v>
      </c>
      <c r="EK62" s="81">
        <f t="shared" si="234"/>
        <v>139</v>
      </c>
      <c r="EL62" s="81">
        <f t="shared" si="234"/>
        <v>140</v>
      </c>
      <c r="EM62" s="81">
        <f t="shared" si="234"/>
        <v>141</v>
      </c>
      <c r="EN62" s="81">
        <f t="shared" si="234"/>
        <v>142</v>
      </c>
      <c r="EO62" s="81">
        <f t="shared" si="234"/>
        <v>143</v>
      </c>
      <c r="EP62" s="81">
        <f t="shared" si="234"/>
        <v>144</v>
      </c>
      <c r="EQ62" s="81">
        <f t="shared" si="234"/>
        <v>145</v>
      </c>
      <c r="ER62" s="81">
        <f t="shared" si="234"/>
        <v>146</v>
      </c>
      <c r="ES62" s="81">
        <f t="shared" si="234"/>
        <v>147</v>
      </c>
      <c r="ET62" s="81">
        <f t="shared" si="234"/>
        <v>148</v>
      </c>
      <c r="EU62" s="81">
        <f t="shared" si="234"/>
        <v>149</v>
      </c>
      <c r="EV62" s="81">
        <f t="shared" si="234"/>
        <v>150</v>
      </c>
      <c r="EW62" s="81">
        <f t="shared" si="234"/>
        <v>151</v>
      </c>
      <c r="EX62" s="81">
        <f t="shared" si="234"/>
        <v>152</v>
      </c>
      <c r="EY62" s="81">
        <f t="shared" si="234"/>
        <v>153</v>
      </c>
      <c r="EZ62" s="81">
        <f t="shared" si="234"/>
        <v>154</v>
      </c>
      <c r="FA62" s="81">
        <f t="shared" si="234"/>
        <v>155</v>
      </c>
      <c r="FB62" s="81">
        <f t="shared" si="234"/>
        <v>156</v>
      </c>
      <c r="FC62" s="81">
        <f t="shared" si="234"/>
        <v>157</v>
      </c>
      <c r="FD62" s="81">
        <f t="shared" si="234"/>
        <v>158</v>
      </c>
      <c r="FE62" s="81">
        <f t="shared" si="234"/>
        <v>159</v>
      </c>
      <c r="FF62" s="81">
        <f t="shared" si="234"/>
        <v>160</v>
      </c>
      <c r="FG62" s="81">
        <f t="shared" si="234"/>
        <v>161</v>
      </c>
      <c r="FH62" s="81">
        <f t="shared" si="234"/>
        <v>162</v>
      </c>
      <c r="FI62" s="81">
        <f t="shared" si="234"/>
        <v>163</v>
      </c>
      <c r="FJ62" s="81">
        <f t="shared" si="234"/>
        <v>164</v>
      </c>
      <c r="FK62" s="81">
        <f t="shared" si="234"/>
        <v>165</v>
      </c>
      <c r="FL62" s="81">
        <f t="shared" si="234"/>
        <v>166</v>
      </c>
      <c r="FM62" s="81">
        <f t="shared" si="234"/>
        <v>167</v>
      </c>
      <c r="FN62" s="81">
        <f t="shared" si="234"/>
        <v>168</v>
      </c>
      <c r="FO62" s="81">
        <f t="shared" si="234"/>
        <v>169</v>
      </c>
      <c r="FP62" s="81">
        <f t="shared" si="234"/>
        <v>170</v>
      </c>
      <c r="FQ62" s="81">
        <f t="shared" si="234"/>
        <v>171</v>
      </c>
      <c r="FR62" s="81">
        <f t="shared" si="234"/>
        <v>172</v>
      </c>
      <c r="FS62" s="81">
        <f t="shared" si="234"/>
        <v>173</v>
      </c>
      <c r="FT62" s="81">
        <f t="shared" si="234"/>
        <v>174</v>
      </c>
      <c r="FU62" s="81">
        <f t="shared" si="234"/>
        <v>175</v>
      </c>
      <c r="FV62" s="81">
        <f t="shared" si="234"/>
        <v>176</v>
      </c>
      <c r="FW62" s="81">
        <f t="shared" si="234"/>
        <v>177</v>
      </c>
      <c r="FX62" s="81">
        <f t="shared" si="234"/>
        <v>178</v>
      </c>
      <c r="FY62" s="81">
        <f t="shared" si="234"/>
        <v>179</v>
      </c>
      <c r="FZ62" s="82">
        <f t="shared" si="234"/>
        <v>180</v>
      </c>
    </row>
    <row r="63" spans="2:182" x14ac:dyDescent="0.2">
      <c r="B63" s="80" t="s">
        <v>131</v>
      </c>
      <c r="C63" s="83">
        <f>EOMONTH(Analysis_Start,0)</f>
        <v>43861</v>
      </c>
      <c r="D63" s="83">
        <f>EOMONTH(C15,1)</f>
        <v>43890</v>
      </c>
      <c r="E63" s="83">
        <f t="shared" ref="E63:BP63" si="235">EOMONTH(D15,1)</f>
        <v>43921</v>
      </c>
      <c r="F63" s="83">
        <f t="shared" si="235"/>
        <v>43951</v>
      </c>
      <c r="G63" s="83">
        <f t="shared" si="235"/>
        <v>43982</v>
      </c>
      <c r="H63" s="83">
        <f t="shared" si="235"/>
        <v>44012</v>
      </c>
      <c r="I63" s="83">
        <f t="shared" si="235"/>
        <v>44043</v>
      </c>
      <c r="J63" s="83">
        <f t="shared" si="235"/>
        <v>44074</v>
      </c>
      <c r="K63" s="83">
        <f t="shared" si="235"/>
        <v>44104</v>
      </c>
      <c r="L63" s="83">
        <f t="shared" si="235"/>
        <v>44135</v>
      </c>
      <c r="M63" s="83">
        <f t="shared" si="235"/>
        <v>44165</v>
      </c>
      <c r="N63" s="83">
        <f t="shared" si="235"/>
        <v>44196</v>
      </c>
      <c r="O63" s="83">
        <f t="shared" si="235"/>
        <v>44227</v>
      </c>
      <c r="P63" s="83">
        <f t="shared" si="235"/>
        <v>44255</v>
      </c>
      <c r="Q63" s="83">
        <f t="shared" si="235"/>
        <v>44286</v>
      </c>
      <c r="R63" s="83">
        <f t="shared" si="235"/>
        <v>44316</v>
      </c>
      <c r="S63" s="83">
        <f t="shared" si="235"/>
        <v>44347</v>
      </c>
      <c r="T63" s="83">
        <f t="shared" si="235"/>
        <v>44377</v>
      </c>
      <c r="U63" s="83">
        <f t="shared" si="235"/>
        <v>44408</v>
      </c>
      <c r="V63" s="83">
        <f t="shared" si="235"/>
        <v>44439</v>
      </c>
      <c r="W63" s="83">
        <f t="shared" si="235"/>
        <v>44469</v>
      </c>
      <c r="X63" s="83">
        <f t="shared" si="235"/>
        <v>44500</v>
      </c>
      <c r="Y63" s="83">
        <f t="shared" si="235"/>
        <v>44530</v>
      </c>
      <c r="Z63" s="83">
        <f t="shared" si="235"/>
        <v>44561</v>
      </c>
      <c r="AA63" s="83">
        <f t="shared" si="235"/>
        <v>44592</v>
      </c>
      <c r="AB63" s="83">
        <f t="shared" si="235"/>
        <v>44620</v>
      </c>
      <c r="AC63" s="83">
        <f t="shared" si="235"/>
        <v>44651</v>
      </c>
      <c r="AD63" s="83">
        <f t="shared" si="235"/>
        <v>44681</v>
      </c>
      <c r="AE63" s="83">
        <f t="shared" si="235"/>
        <v>44712</v>
      </c>
      <c r="AF63" s="83">
        <f t="shared" si="235"/>
        <v>44742</v>
      </c>
      <c r="AG63" s="83">
        <f t="shared" si="235"/>
        <v>44773</v>
      </c>
      <c r="AH63" s="83">
        <f t="shared" si="235"/>
        <v>44804</v>
      </c>
      <c r="AI63" s="83">
        <f t="shared" si="235"/>
        <v>44834</v>
      </c>
      <c r="AJ63" s="83">
        <f t="shared" si="235"/>
        <v>44865</v>
      </c>
      <c r="AK63" s="83">
        <f t="shared" si="235"/>
        <v>44895</v>
      </c>
      <c r="AL63" s="83">
        <f t="shared" si="235"/>
        <v>44926</v>
      </c>
      <c r="AM63" s="83">
        <f t="shared" si="235"/>
        <v>44957</v>
      </c>
      <c r="AN63" s="83">
        <f t="shared" si="235"/>
        <v>44985</v>
      </c>
      <c r="AO63" s="83">
        <f t="shared" si="235"/>
        <v>45016</v>
      </c>
      <c r="AP63" s="83">
        <f t="shared" si="235"/>
        <v>45046</v>
      </c>
      <c r="AQ63" s="83">
        <f t="shared" si="235"/>
        <v>45077</v>
      </c>
      <c r="AR63" s="83">
        <f t="shared" si="235"/>
        <v>45107</v>
      </c>
      <c r="AS63" s="83">
        <f t="shared" si="235"/>
        <v>45138</v>
      </c>
      <c r="AT63" s="83">
        <f t="shared" si="235"/>
        <v>45169</v>
      </c>
      <c r="AU63" s="83">
        <f t="shared" si="235"/>
        <v>45199</v>
      </c>
      <c r="AV63" s="83">
        <f t="shared" si="235"/>
        <v>45230</v>
      </c>
      <c r="AW63" s="83">
        <f t="shared" si="235"/>
        <v>45260</v>
      </c>
      <c r="AX63" s="83">
        <f t="shared" si="235"/>
        <v>45291</v>
      </c>
      <c r="AY63" s="83">
        <f t="shared" si="235"/>
        <v>45322</v>
      </c>
      <c r="AZ63" s="83">
        <f t="shared" si="235"/>
        <v>45351</v>
      </c>
      <c r="BA63" s="83">
        <f t="shared" si="235"/>
        <v>45382</v>
      </c>
      <c r="BB63" s="83">
        <f t="shared" si="235"/>
        <v>45412</v>
      </c>
      <c r="BC63" s="83">
        <f t="shared" si="235"/>
        <v>45443</v>
      </c>
      <c r="BD63" s="83">
        <f t="shared" si="235"/>
        <v>45473</v>
      </c>
      <c r="BE63" s="83">
        <f t="shared" si="235"/>
        <v>45504</v>
      </c>
      <c r="BF63" s="83">
        <f t="shared" si="235"/>
        <v>45535</v>
      </c>
      <c r="BG63" s="83">
        <f t="shared" si="235"/>
        <v>45565</v>
      </c>
      <c r="BH63" s="83">
        <f t="shared" si="235"/>
        <v>45596</v>
      </c>
      <c r="BI63" s="83">
        <f t="shared" si="235"/>
        <v>45626</v>
      </c>
      <c r="BJ63" s="83">
        <f t="shared" si="235"/>
        <v>45657</v>
      </c>
      <c r="BK63" s="83">
        <f t="shared" si="235"/>
        <v>45688</v>
      </c>
      <c r="BL63" s="83">
        <f t="shared" si="235"/>
        <v>45716</v>
      </c>
      <c r="BM63" s="83">
        <f t="shared" si="235"/>
        <v>45747</v>
      </c>
      <c r="BN63" s="83">
        <f t="shared" si="235"/>
        <v>45777</v>
      </c>
      <c r="BO63" s="83">
        <f t="shared" si="235"/>
        <v>45808</v>
      </c>
      <c r="BP63" s="83">
        <f t="shared" si="235"/>
        <v>45838</v>
      </c>
      <c r="BQ63" s="83">
        <f t="shared" ref="BQ63:EB63" si="236">EOMONTH(BP15,1)</f>
        <v>45869</v>
      </c>
      <c r="BR63" s="83">
        <f t="shared" si="236"/>
        <v>45900</v>
      </c>
      <c r="BS63" s="83">
        <f t="shared" si="236"/>
        <v>45930</v>
      </c>
      <c r="BT63" s="83">
        <f t="shared" si="236"/>
        <v>45961</v>
      </c>
      <c r="BU63" s="83">
        <f t="shared" si="236"/>
        <v>45991</v>
      </c>
      <c r="BV63" s="83">
        <f t="shared" si="236"/>
        <v>46022</v>
      </c>
      <c r="BW63" s="83">
        <f t="shared" si="236"/>
        <v>46053</v>
      </c>
      <c r="BX63" s="83">
        <f t="shared" si="236"/>
        <v>46081</v>
      </c>
      <c r="BY63" s="83">
        <f t="shared" si="236"/>
        <v>46112</v>
      </c>
      <c r="BZ63" s="83">
        <f t="shared" si="236"/>
        <v>46142</v>
      </c>
      <c r="CA63" s="83">
        <f t="shared" si="236"/>
        <v>46173</v>
      </c>
      <c r="CB63" s="83">
        <f t="shared" si="236"/>
        <v>46203</v>
      </c>
      <c r="CC63" s="83">
        <f t="shared" si="236"/>
        <v>46234</v>
      </c>
      <c r="CD63" s="83">
        <f t="shared" si="236"/>
        <v>46265</v>
      </c>
      <c r="CE63" s="83">
        <f t="shared" si="236"/>
        <v>46295</v>
      </c>
      <c r="CF63" s="83">
        <f t="shared" si="236"/>
        <v>46326</v>
      </c>
      <c r="CG63" s="83">
        <f t="shared" si="236"/>
        <v>46356</v>
      </c>
      <c r="CH63" s="83">
        <f t="shared" si="236"/>
        <v>46387</v>
      </c>
      <c r="CI63" s="83">
        <f t="shared" si="236"/>
        <v>46418</v>
      </c>
      <c r="CJ63" s="83">
        <f t="shared" si="236"/>
        <v>46446</v>
      </c>
      <c r="CK63" s="83">
        <f t="shared" si="236"/>
        <v>46477</v>
      </c>
      <c r="CL63" s="83">
        <f t="shared" si="236"/>
        <v>46507</v>
      </c>
      <c r="CM63" s="83">
        <f t="shared" si="236"/>
        <v>46538</v>
      </c>
      <c r="CN63" s="83">
        <f t="shared" si="236"/>
        <v>46568</v>
      </c>
      <c r="CO63" s="83">
        <f t="shared" si="236"/>
        <v>46599</v>
      </c>
      <c r="CP63" s="83">
        <f t="shared" si="236"/>
        <v>46630</v>
      </c>
      <c r="CQ63" s="83">
        <f t="shared" si="236"/>
        <v>46660</v>
      </c>
      <c r="CR63" s="83">
        <f t="shared" si="236"/>
        <v>46691</v>
      </c>
      <c r="CS63" s="83">
        <f t="shared" si="236"/>
        <v>46721</v>
      </c>
      <c r="CT63" s="83">
        <f t="shared" si="236"/>
        <v>46752</v>
      </c>
      <c r="CU63" s="83">
        <f t="shared" si="236"/>
        <v>46783</v>
      </c>
      <c r="CV63" s="83">
        <f t="shared" si="236"/>
        <v>46812</v>
      </c>
      <c r="CW63" s="83">
        <f t="shared" si="236"/>
        <v>46843</v>
      </c>
      <c r="CX63" s="83">
        <f t="shared" si="236"/>
        <v>46873</v>
      </c>
      <c r="CY63" s="83">
        <f t="shared" si="236"/>
        <v>46904</v>
      </c>
      <c r="CZ63" s="83">
        <f t="shared" si="236"/>
        <v>46934</v>
      </c>
      <c r="DA63" s="83">
        <f t="shared" si="236"/>
        <v>46965</v>
      </c>
      <c r="DB63" s="83">
        <f t="shared" si="236"/>
        <v>46996</v>
      </c>
      <c r="DC63" s="83">
        <f t="shared" si="236"/>
        <v>47026</v>
      </c>
      <c r="DD63" s="83">
        <f t="shared" si="236"/>
        <v>47057</v>
      </c>
      <c r="DE63" s="83">
        <f t="shared" si="236"/>
        <v>47087</v>
      </c>
      <c r="DF63" s="83">
        <f t="shared" si="236"/>
        <v>47118</v>
      </c>
      <c r="DG63" s="83">
        <f t="shared" si="236"/>
        <v>47149</v>
      </c>
      <c r="DH63" s="83">
        <f t="shared" si="236"/>
        <v>47177</v>
      </c>
      <c r="DI63" s="83">
        <f t="shared" si="236"/>
        <v>47208</v>
      </c>
      <c r="DJ63" s="83">
        <f t="shared" si="236"/>
        <v>47238</v>
      </c>
      <c r="DK63" s="83">
        <f t="shared" si="236"/>
        <v>47269</v>
      </c>
      <c r="DL63" s="83">
        <f t="shared" si="236"/>
        <v>47299</v>
      </c>
      <c r="DM63" s="83">
        <f t="shared" si="236"/>
        <v>47330</v>
      </c>
      <c r="DN63" s="83">
        <f t="shared" si="236"/>
        <v>47361</v>
      </c>
      <c r="DO63" s="83">
        <f t="shared" si="236"/>
        <v>47391</v>
      </c>
      <c r="DP63" s="83">
        <f t="shared" si="236"/>
        <v>47422</v>
      </c>
      <c r="DQ63" s="83">
        <f t="shared" si="236"/>
        <v>47452</v>
      </c>
      <c r="DR63" s="83">
        <f t="shared" si="236"/>
        <v>47483</v>
      </c>
      <c r="DS63" s="83">
        <f t="shared" si="236"/>
        <v>47514</v>
      </c>
      <c r="DT63" s="83">
        <f t="shared" si="236"/>
        <v>47542</v>
      </c>
      <c r="DU63" s="83">
        <f t="shared" si="236"/>
        <v>47573</v>
      </c>
      <c r="DV63" s="83">
        <f t="shared" si="236"/>
        <v>47603</v>
      </c>
      <c r="DW63" s="83">
        <f t="shared" si="236"/>
        <v>47634</v>
      </c>
      <c r="DX63" s="83">
        <f t="shared" si="236"/>
        <v>47664</v>
      </c>
      <c r="DY63" s="83">
        <f t="shared" si="236"/>
        <v>47695</v>
      </c>
      <c r="DZ63" s="83">
        <f t="shared" si="236"/>
        <v>47726</v>
      </c>
      <c r="EA63" s="83">
        <f t="shared" si="236"/>
        <v>47756</v>
      </c>
      <c r="EB63" s="83">
        <f t="shared" si="236"/>
        <v>47787</v>
      </c>
      <c r="EC63" s="83">
        <f t="shared" ref="EC63:FZ63" si="237">EOMONTH(EB15,1)</f>
        <v>47817</v>
      </c>
      <c r="ED63" s="83">
        <f t="shared" si="237"/>
        <v>47848</v>
      </c>
      <c r="EE63" s="83">
        <f t="shared" si="237"/>
        <v>47879</v>
      </c>
      <c r="EF63" s="83">
        <f t="shared" si="237"/>
        <v>47907</v>
      </c>
      <c r="EG63" s="83">
        <f t="shared" si="237"/>
        <v>47938</v>
      </c>
      <c r="EH63" s="83">
        <f t="shared" si="237"/>
        <v>47968</v>
      </c>
      <c r="EI63" s="83">
        <f t="shared" si="237"/>
        <v>47999</v>
      </c>
      <c r="EJ63" s="83">
        <f t="shared" si="237"/>
        <v>48029</v>
      </c>
      <c r="EK63" s="83">
        <f t="shared" si="237"/>
        <v>48060</v>
      </c>
      <c r="EL63" s="83">
        <f t="shared" si="237"/>
        <v>48091</v>
      </c>
      <c r="EM63" s="83">
        <f t="shared" si="237"/>
        <v>48121</v>
      </c>
      <c r="EN63" s="83">
        <f t="shared" si="237"/>
        <v>48152</v>
      </c>
      <c r="EO63" s="83">
        <f t="shared" si="237"/>
        <v>48182</v>
      </c>
      <c r="EP63" s="83">
        <f t="shared" si="237"/>
        <v>48213</v>
      </c>
      <c r="EQ63" s="83">
        <f t="shared" si="237"/>
        <v>48244</v>
      </c>
      <c r="ER63" s="83">
        <f t="shared" si="237"/>
        <v>48273</v>
      </c>
      <c r="ES63" s="83">
        <f t="shared" si="237"/>
        <v>48304</v>
      </c>
      <c r="ET63" s="83">
        <f t="shared" si="237"/>
        <v>48334</v>
      </c>
      <c r="EU63" s="83">
        <f t="shared" si="237"/>
        <v>48365</v>
      </c>
      <c r="EV63" s="83">
        <f t="shared" si="237"/>
        <v>48395</v>
      </c>
      <c r="EW63" s="83">
        <f t="shared" si="237"/>
        <v>48426</v>
      </c>
      <c r="EX63" s="83">
        <f t="shared" si="237"/>
        <v>48457</v>
      </c>
      <c r="EY63" s="83">
        <f t="shared" si="237"/>
        <v>48487</v>
      </c>
      <c r="EZ63" s="83">
        <f t="shared" si="237"/>
        <v>48518</v>
      </c>
      <c r="FA63" s="83">
        <f t="shared" si="237"/>
        <v>48548</v>
      </c>
      <c r="FB63" s="83">
        <f t="shared" si="237"/>
        <v>48579</v>
      </c>
      <c r="FC63" s="83">
        <f t="shared" si="237"/>
        <v>48610</v>
      </c>
      <c r="FD63" s="83">
        <f t="shared" si="237"/>
        <v>48638</v>
      </c>
      <c r="FE63" s="83">
        <f t="shared" si="237"/>
        <v>48669</v>
      </c>
      <c r="FF63" s="83">
        <f t="shared" si="237"/>
        <v>48699</v>
      </c>
      <c r="FG63" s="83">
        <f t="shared" si="237"/>
        <v>48730</v>
      </c>
      <c r="FH63" s="83">
        <f t="shared" si="237"/>
        <v>48760</v>
      </c>
      <c r="FI63" s="83">
        <f t="shared" si="237"/>
        <v>48791</v>
      </c>
      <c r="FJ63" s="83">
        <f t="shared" si="237"/>
        <v>48822</v>
      </c>
      <c r="FK63" s="83">
        <f t="shared" si="237"/>
        <v>48852</v>
      </c>
      <c r="FL63" s="83">
        <f t="shared" si="237"/>
        <v>48883</v>
      </c>
      <c r="FM63" s="83">
        <f t="shared" si="237"/>
        <v>48913</v>
      </c>
      <c r="FN63" s="83">
        <f t="shared" si="237"/>
        <v>48944</v>
      </c>
      <c r="FO63" s="83">
        <f t="shared" si="237"/>
        <v>48975</v>
      </c>
      <c r="FP63" s="83">
        <f t="shared" si="237"/>
        <v>49003</v>
      </c>
      <c r="FQ63" s="83">
        <f t="shared" si="237"/>
        <v>49034</v>
      </c>
      <c r="FR63" s="83">
        <f t="shared" si="237"/>
        <v>49064</v>
      </c>
      <c r="FS63" s="83">
        <f t="shared" si="237"/>
        <v>49095</v>
      </c>
      <c r="FT63" s="83">
        <f t="shared" si="237"/>
        <v>49125</v>
      </c>
      <c r="FU63" s="83">
        <f t="shared" si="237"/>
        <v>49156</v>
      </c>
      <c r="FV63" s="83">
        <f t="shared" si="237"/>
        <v>49187</v>
      </c>
      <c r="FW63" s="83">
        <f t="shared" si="237"/>
        <v>49217</v>
      </c>
      <c r="FX63" s="83">
        <f t="shared" si="237"/>
        <v>49248</v>
      </c>
      <c r="FY63" s="83">
        <f t="shared" si="237"/>
        <v>49278</v>
      </c>
      <c r="FZ63" s="84">
        <f t="shared" si="237"/>
        <v>49309</v>
      </c>
    </row>
    <row r="64" spans="2:182" x14ac:dyDescent="0.2">
      <c r="B64" s="85"/>
      <c r="C64" s="73">
        <f>IF(OR($B5="",$B5=0),"",($Q5/30)*C16*B40)</f>
        <v>0</v>
      </c>
      <c r="D64" s="73">
        <f t="shared" ref="D64:BO64" si="238">IF(OR($B5="",$B5=0),"",($Q5/30)*D16*C40)</f>
        <v>0</v>
      </c>
      <c r="E64" s="73">
        <f t="shared" si="238"/>
        <v>0</v>
      </c>
      <c r="F64" s="73">
        <f t="shared" si="238"/>
        <v>0</v>
      </c>
      <c r="G64" s="73">
        <f t="shared" si="238"/>
        <v>0</v>
      </c>
      <c r="H64" s="73">
        <f t="shared" si="238"/>
        <v>0</v>
      </c>
      <c r="I64" s="73">
        <f t="shared" si="238"/>
        <v>0</v>
      </c>
      <c r="J64" s="73">
        <f t="shared" si="238"/>
        <v>0</v>
      </c>
      <c r="K64" s="73">
        <f t="shared" si="238"/>
        <v>0</v>
      </c>
      <c r="L64" s="73">
        <f t="shared" si="238"/>
        <v>0</v>
      </c>
      <c r="M64" s="73">
        <f t="shared" si="238"/>
        <v>0</v>
      </c>
      <c r="N64" s="73">
        <f t="shared" si="238"/>
        <v>0</v>
      </c>
      <c r="O64" s="73">
        <f>IF(OR($B5="",$B5=0),"",($Q5/30)*O16*N40)</f>
        <v>17491.833333333328</v>
      </c>
      <c r="P64" s="73">
        <f t="shared" si="238"/>
        <v>0</v>
      </c>
      <c r="Q64" s="73">
        <f t="shared" si="238"/>
        <v>0</v>
      </c>
      <c r="R64" s="73">
        <f t="shared" si="238"/>
        <v>0</v>
      </c>
      <c r="S64" s="73">
        <f t="shared" si="238"/>
        <v>0</v>
      </c>
      <c r="T64" s="73">
        <f t="shared" si="238"/>
        <v>0</v>
      </c>
      <c r="U64" s="73">
        <f t="shared" si="238"/>
        <v>0</v>
      </c>
      <c r="V64" s="73">
        <f t="shared" si="238"/>
        <v>0</v>
      </c>
      <c r="W64" s="73">
        <f t="shared" si="238"/>
        <v>0</v>
      </c>
      <c r="X64" s="73">
        <f t="shared" si="238"/>
        <v>0</v>
      </c>
      <c r="Y64" s="73">
        <f t="shared" si="238"/>
        <v>0</v>
      </c>
      <c r="Z64" s="73">
        <f t="shared" si="238"/>
        <v>0</v>
      </c>
      <c r="AA64" s="73">
        <f t="shared" si="238"/>
        <v>17754.210833333327</v>
      </c>
      <c r="AB64" s="73">
        <f t="shared" si="238"/>
        <v>0</v>
      </c>
      <c r="AC64" s="73">
        <f t="shared" si="238"/>
        <v>0</v>
      </c>
      <c r="AD64" s="73">
        <f t="shared" si="238"/>
        <v>0</v>
      </c>
      <c r="AE64" s="73">
        <f t="shared" si="238"/>
        <v>0</v>
      </c>
      <c r="AF64" s="73">
        <f t="shared" si="238"/>
        <v>0</v>
      </c>
      <c r="AG64" s="73">
        <f t="shared" si="238"/>
        <v>0</v>
      </c>
      <c r="AH64" s="73">
        <f t="shared" si="238"/>
        <v>0</v>
      </c>
      <c r="AI64" s="73">
        <f t="shared" si="238"/>
        <v>0</v>
      </c>
      <c r="AJ64" s="73">
        <f t="shared" si="238"/>
        <v>0</v>
      </c>
      <c r="AK64" s="73">
        <f t="shared" si="238"/>
        <v>0</v>
      </c>
      <c r="AL64" s="73">
        <f t="shared" si="238"/>
        <v>0</v>
      </c>
      <c r="AM64" s="73">
        <f t="shared" si="238"/>
        <v>18020.523995833326</v>
      </c>
      <c r="AN64" s="73">
        <f t="shared" si="238"/>
        <v>0</v>
      </c>
      <c r="AO64" s="73">
        <f t="shared" si="238"/>
        <v>0</v>
      </c>
      <c r="AP64" s="73">
        <f t="shared" si="238"/>
        <v>0</v>
      </c>
      <c r="AQ64" s="73">
        <f t="shared" si="238"/>
        <v>0</v>
      </c>
      <c r="AR64" s="73">
        <f t="shared" si="238"/>
        <v>0</v>
      </c>
      <c r="AS64" s="73">
        <f t="shared" si="238"/>
        <v>0</v>
      </c>
      <c r="AT64" s="73">
        <f t="shared" si="238"/>
        <v>0</v>
      </c>
      <c r="AU64" s="73">
        <f t="shared" si="238"/>
        <v>0</v>
      </c>
      <c r="AV64" s="73">
        <f t="shared" si="238"/>
        <v>0</v>
      </c>
      <c r="AW64" s="73">
        <f t="shared" si="238"/>
        <v>0</v>
      </c>
      <c r="AX64" s="73">
        <f t="shared" si="238"/>
        <v>0</v>
      </c>
      <c r="AY64" s="73">
        <f t="shared" si="238"/>
        <v>18290.831855770823</v>
      </c>
      <c r="AZ64" s="73">
        <f t="shared" si="238"/>
        <v>0</v>
      </c>
      <c r="BA64" s="73">
        <f t="shared" si="238"/>
        <v>0</v>
      </c>
      <c r="BB64" s="73">
        <f t="shared" si="238"/>
        <v>0</v>
      </c>
      <c r="BC64" s="73">
        <f t="shared" si="238"/>
        <v>0</v>
      </c>
      <c r="BD64" s="73">
        <f t="shared" si="238"/>
        <v>0</v>
      </c>
      <c r="BE64" s="73">
        <f t="shared" si="238"/>
        <v>0</v>
      </c>
      <c r="BF64" s="73">
        <f t="shared" si="238"/>
        <v>0</v>
      </c>
      <c r="BG64" s="73">
        <f t="shared" si="238"/>
        <v>0</v>
      </c>
      <c r="BH64" s="73">
        <f t="shared" si="238"/>
        <v>0</v>
      </c>
      <c r="BI64" s="73">
        <f t="shared" si="238"/>
        <v>0</v>
      </c>
      <c r="BJ64" s="73">
        <f t="shared" si="238"/>
        <v>0</v>
      </c>
      <c r="BK64" s="73">
        <f t="shared" si="238"/>
        <v>18565.194333607382</v>
      </c>
      <c r="BL64" s="73">
        <f t="shared" si="238"/>
        <v>0</v>
      </c>
      <c r="BM64" s="73">
        <f t="shared" si="238"/>
        <v>0</v>
      </c>
      <c r="BN64" s="73">
        <f t="shared" si="238"/>
        <v>0</v>
      </c>
      <c r="BO64" s="73">
        <f t="shared" si="238"/>
        <v>0</v>
      </c>
      <c r="BP64" s="73">
        <f t="shared" ref="BP64:EA64" si="239">IF(OR($B5="",$B5=0),"",($Q5/30)*BP16*BO40)</f>
        <v>0</v>
      </c>
      <c r="BQ64" s="73">
        <f t="shared" si="239"/>
        <v>0</v>
      </c>
      <c r="BR64" s="73">
        <f t="shared" si="239"/>
        <v>0</v>
      </c>
      <c r="BS64" s="73">
        <f t="shared" si="239"/>
        <v>0</v>
      </c>
      <c r="BT64" s="73">
        <f t="shared" si="239"/>
        <v>0</v>
      </c>
      <c r="BU64" s="73">
        <f t="shared" si="239"/>
        <v>0</v>
      </c>
      <c r="BV64" s="73">
        <f t="shared" si="239"/>
        <v>0</v>
      </c>
      <c r="BW64" s="73">
        <f t="shared" si="239"/>
        <v>18843.672248611489</v>
      </c>
      <c r="BX64" s="73">
        <f t="shared" si="239"/>
        <v>0</v>
      </c>
      <c r="BY64" s="73">
        <f t="shared" si="239"/>
        <v>0</v>
      </c>
      <c r="BZ64" s="73">
        <f t="shared" si="239"/>
        <v>0</v>
      </c>
      <c r="CA64" s="73">
        <f t="shared" si="239"/>
        <v>0</v>
      </c>
      <c r="CB64" s="73">
        <f t="shared" si="239"/>
        <v>0</v>
      </c>
      <c r="CC64" s="73">
        <f t="shared" si="239"/>
        <v>0</v>
      </c>
      <c r="CD64" s="73">
        <f t="shared" si="239"/>
        <v>0</v>
      </c>
      <c r="CE64" s="73">
        <f t="shared" si="239"/>
        <v>0</v>
      </c>
      <c r="CF64" s="73">
        <f t="shared" si="239"/>
        <v>0</v>
      </c>
      <c r="CG64" s="73">
        <f t="shared" si="239"/>
        <v>0</v>
      </c>
      <c r="CH64" s="73">
        <f t="shared" si="239"/>
        <v>0</v>
      </c>
      <c r="CI64" s="73">
        <f t="shared" si="239"/>
        <v>19126.327332340661</v>
      </c>
      <c r="CJ64" s="73">
        <f t="shared" si="239"/>
        <v>0</v>
      </c>
      <c r="CK64" s="73">
        <f t="shared" si="239"/>
        <v>0</v>
      </c>
      <c r="CL64" s="73">
        <f t="shared" si="239"/>
        <v>0</v>
      </c>
      <c r="CM64" s="73">
        <f t="shared" si="239"/>
        <v>0</v>
      </c>
      <c r="CN64" s="73">
        <f t="shared" si="239"/>
        <v>0</v>
      </c>
      <c r="CO64" s="73">
        <f t="shared" si="239"/>
        <v>0</v>
      </c>
      <c r="CP64" s="73">
        <f t="shared" si="239"/>
        <v>0</v>
      </c>
      <c r="CQ64" s="73">
        <f t="shared" si="239"/>
        <v>0</v>
      </c>
      <c r="CR64" s="73">
        <f t="shared" si="239"/>
        <v>0</v>
      </c>
      <c r="CS64" s="73">
        <f t="shared" si="239"/>
        <v>0</v>
      </c>
      <c r="CT64" s="73">
        <f t="shared" si="239"/>
        <v>0</v>
      </c>
      <c r="CU64" s="73">
        <f t="shared" si="239"/>
        <v>19413.222242325766</v>
      </c>
      <c r="CV64" s="73">
        <f t="shared" si="239"/>
        <v>0</v>
      </c>
      <c r="CW64" s="73">
        <f t="shared" si="239"/>
        <v>0</v>
      </c>
      <c r="CX64" s="73">
        <f t="shared" si="239"/>
        <v>0</v>
      </c>
      <c r="CY64" s="73">
        <f t="shared" si="239"/>
        <v>0</v>
      </c>
      <c r="CZ64" s="73">
        <f t="shared" si="239"/>
        <v>0</v>
      </c>
      <c r="DA64" s="73">
        <f t="shared" si="239"/>
        <v>0</v>
      </c>
      <c r="DB64" s="73">
        <f t="shared" si="239"/>
        <v>0</v>
      </c>
      <c r="DC64" s="73">
        <f t="shared" si="239"/>
        <v>0</v>
      </c>
      <c r="DD64" s="73">
        <f t="shared" si="239"/>
        <v>0</v>
      </c>
      <c r="DE64" s="73">
        <f t="shared" si="239"/>
        <v>0</v>
      </c>
      <c r="DF64" s="73">
        <f t="shared" si="239"/>
        <v>0</v>
      </c>
      <c r="DG64" s="73">
        <f t="shared" si="239"/>
        <v>19704.420575960652</v>
      </c>
      <c r="DH64" s="73">
        <f t="shared" si="239"/>
        <v>0</v>
      </c>
      <c r="DI64" s="73">
        <f t="shared" si="239"/>
        <v>0</v>
      </c>
      <c r="DJ64" s="73">
        <f t="shared" si="239"/>
        <v>0</v>
      </c>
      <c r="DK64" s="73">
        <f t="shared" si="239"/>
        <v>0</v>
      </c>
      <c r="DL64" s="73">
        <f t="shared" si="239"/>
        <v>0</v>
      </c>
      <c r="DM64" s="73">
        <f t="shared" si="239"/>
        <v>0</v>
      </c>
      <c r="DN64" s="73">
        <f t="shared" si="239"/>
        <v>0</v>
      </c>
      <c r="DO64" s="73">
        <f t="shared" si="239"/>
        <v>0</v>
      </c>
      <c r="DP64" s="73">
        <f t="shared" si="239"/>
        <v>0</v>
      </c>
      <c r="DQ64" s="73">
        <f t="shared" si="239"/>
        <v>0</v>
      </c>
      <c r="DR64" s="73">
        <f t="shared" si="239"/>
        <v>0</v>
      </c>
      <c r="DS64" s="73">
        <f t="shared" si="239"/>
        <v>19999.986884600061</v>
      </c>
      <c r="DT64" s="73">
        <f t="shared" si="239"/>
        <v>0</v>
      </c>
      <c r="DU64" s="73">
        <f t="shared" si="239"/>
        <v>0</v>
      </c>
      <c r="DV64" s="73">
        <f t="shared" si="239"/>
        <v>0</v>
      </c>
      <c r="DW64" s="73">
        <f t="shared" si="239"/>
        <v>0</v>
      </c>
      <c r="DX64" s="73">
        <f t="shared" si="239"/>
        <v>0</v>
      </c>
      <c r="DY64" s="73">
        <f t="shared" si="239"/>
        <v>0</v>
      </c>
      <c r="DZ64" s="73">
        <f t="shared" si="239"/>
        <v>0</v>
      </c>
      <c r="EA64" s="73">
        <f t="shared" si="239"/>
        <v>0</v>
      </c>
      <c r="EB64" s="73">
        <f t="shared" ref="EB64:FZ64" si="240">IF(OR($B5="",$B5=0),"",($Q5/30)*EB16*EA40)</f>
        <v>0</v>
      </c>
      <c r="EC64" s="73">
        <f t="shared" si="240"/>
        <v>0</v>
      </c>
      <c r="ED64" s="73">
        <f t="shared" si="240"/>
        <v>0</v>
      </c>
      <c r="EE64" s="73">
        <f t="shared" si="240"/>
        <v>20299.986687869059</v>
      </c>
      <c r="EF64" s="73">
        <f t="shared" si="240"/>
        <v>0</v>
      </c>
      <c r="EG64" s="73">
        <f t="shared" si="240"/>
        <v>0</v>
      </c>
      <c r="EH64" s="73">
        <f t="shared" si="240"/>
        <v>0</v>
      </c>
      <c r="EI64" s="73">
        <f t="shared" si="240"/>
        <v>0</v>
      </c>
      <c r="EJ64" s="73">
        <f t="shared" si="240"/>
        <v>0</v>
      </c>
      <c r="EK64" s="73">
        <f t="shared" si="240"/>
        <v>0</v>
      </c>
      <c r="EL64" s="73">
        <f t="shared" si="240"/>
        <v>0</v>
      </c>
      <c r="EM64" s="73">
        <f t="shared" si="240"/>
        <v>0</v>
      </c>
      <c r="EN64" s="73">
        <f t="shared" si="240"/>
        <v>0</v>
      </c>
      <c r="EO64" s="73">
        <f t="shared" si="240"/>
        <v>0</v>
      </c>
      <c r="EP64" s="73">
        <f t="shared" si="240"/>
        <v>0</v>
      </c>
      <c r="EQ64" s="73">
        <f t="shared" si="240"/>
        <v>20604.486488187089</v>
      </c>
      <c r="ER64" s="73">
        <f t="shared" si="240"/>
        <v>0</v>
      </c>
      <c r="ES64" s="73">
        <f t="shared" si="240"/>
        <v>0</v>
      </c>
      <c r="ET64" s="73">
        <f t="shared" si="240"/>
        <v>0</v>
      </c>
      <c r="EU64" s="73">
        <f t="shared" si="240"/>
        <v>0</v>
      </c>
      <c r="EV64" s="73">
        <f t="shared" si="240"/>
        <v>0</v>
      </c>
      <c r="EW64" s="73">
        <f t="shared" si="240"/>
        <v>0</v>
      </c>
      <c r="EX64" s="73">
        <f t="shared" si="240"/>
        <v>0</v>
      </c>
      <c r="EY64" s="73">
        <f t="shared" si="240"/>
        <v>0</v>
      </c>
      <c r="EZ64" s="73">
        <f t="shared" si="240"/>
        <v>0</v>
      </c>
      <c r="FA64" s="73">
        <f t="shared" si="240"/>
        <v>0</v>
      </c>
      <c r="FB64" s="73">
        <f t="shared" si="240"/>
        <v>0</v>
      </c>
      <c r="FC64" s="73">
        <f t="shared" si="240"/>
        <v>20913.553785509896</v>
      </c>
      <c r="FD64" s="73">
        <f t="shared" si="240"/>
        <v>0</v>
      </c>
      <c r="FE64" s="73">
        <f t="shared" si="240"/>
        <v>0</v>
      </c>
      <c r="FF64" s="73">
        <f t="shared" si="240"/>
        <v>0</v>
      </c>
      <c r="FG64" s="73">
        <f t="shared" si="240"/>
        <v>0</v>
      </c>
      <c r="FH64" s="73">
        <f t="shared" si="240"/>
        <v>0</v>
      </c>
      <c r="FI64" s="73">
        <f t="shared" si="240"/>
        <v>0</v>
      </c>
      <c r="FJ64" s="73">
        <f t="shared" si="240"/>
        <v>0</v>
      </c>
      <c r="FK64" s="73">
        <f t="shared" si="240"/>
        <v>0</v>
      </c>
      <c r="FL64" s="73">
        <f t="shared" si="240"/>
        <v>0</v>
      </c>
      <c r="FM64" s="73">
        <f t="shared" si="240"/>
        <v>0</v>
      </c>
      <c r="FN64" s="73">
        <f t="shared" si="240"/>
        <v>0</v>
      </c>
      <c r="FO64" s="73">
        <f t="shared" si="240"/>
        <v>21227.257092292537</v>
      </c>
      <c r="FP64" s="73">
        <f t="shared" si="240"/>
        <v>0</v>
      </c>
      <c r="FQ64" s="73">
        <f t="shared" si="240"/>
        <v>0</v>
      </c>
      <c r="FR64" s="73">
        <f t="shared" si="240"/>
        <v>0</v>
      </c>
      <c r="FS64" s="73">
        <f t="shared" si="240"/>
        <v>0</v>
      </c>
      <c r="FT64" s="73">
        <f t="shared" si="240"/>
        <v>0</v>
      </c>
      <c r="FU64" s="73">
        <f t="shared" si="240"/>
        <v>0</v>
      </c>
      <c r="FV64" s="73">
        <f t="shared" si="240"/>
        <v>0</v>
      </c>
      <c r="FW64" s="73">
        <f t="shared" si="240"/>
        <v>0</v>
      </c>
      <c r="FX64" s="73">
        <f t="shared" si="240"/>
        <v>0</v>
      </c>
      <c r="FY64" s="73">
        <f t="shared" si="240"/>
        <v>0</v>
      </c>
      <c r="FZ64" s="86">
        <f t="shared" si="240"/>
        <v>0</v>
      </c>
    </row>
    <row r="65" spans="2:182" x14ac:dyDescent="0.2">
      <c r="B65" s="85"/>
      <c r="C65" s="73">
        <f t="shared" ref="C65:BN65" si="241">IF(OR($B6="",$B6=0),"",($Q6/30)*C17*B41)</f>
        <v>0</v>
      </c>
      <c r="D65" s="73">
        <f t="shared" si="241"/>
        <v>0</v>
      </c>
      <c r="E65" s="73">
        <f t="shared" si="241"/>
        <v>0</v>
      </c>
      <c r="F65" s="73">
        <f t="shared" si="241"/>
        <v>0</v>
      </c>
      <c r="G65" s="73">
        <f t="shared" si="241"/>
        <v>0</v>
      </c>
      <c r="H65" s="73">
        <f t="shared" si="241"/>
        <v>0</v>
      </c>
      <c r="I65" s="73">
        <f t="shared" si="241"/>
        <v>0</v>
      </c>
      <c r="J65" s="73">
        <f t="shared" si="241"/>
        <v>0</v>
      </c>
      <c r="K65" s="73">
        <f t="shared" si="241"/>
        <v>0</v>
      </c>
      <c r="L65" s="73">
        <f t="shared" si="241"/>
        <v>0</v>
      </c>
      <c r="M65" s="73">
        <f t="shared" si="241"/>
        <v>0</v>
      </c>
      <c r="N65" s="73">
        <f t="shared" si="241"/>
        <v>0</v>
      </c>
      <c r="O65" s="73">
        <f t="shared" si="241"/>
        <v>19000.799999999996</v>
      </c>
      <c r="P65" s="73">
        <f t="shared" si="241"/>
        <v>0</v>
      </c>
      <c r="Q65" s="73">
        <f t="shared" si="241"/>
        <v>0</v>
      </c>
      <c r="R65" s="73">
        <f t="shared" si="241"/>
        <v>0</v>
      </c>
      <c r="S65" s="73">
        <f t="shared" si="241"/>
        <v>0</v>
      </c>
      <c r="T65" s="73">
        <f t="shared" si="241"/>
        <v>0</v>
      </c>
      <c r="U65" s="73">
        <f t="shared" si="241"/>
        <v>0</v>
      </c>
      <c r="V65" s="73">
        <f t="shared" si="241"/>
        <v>0</v>
      </c>
      <c r="W65" s="73">
        <f t="shared" si="241"/>
        <v>0</v>
      </c>
      <c r="X65" s="73">
        <f t="shared" si="241"/>
        <v>0</v>
      </c>
      <c r="Y65" s="73">
        <f t="shared" si="241"/>
        <v>0</v>
      </c>
      <c r="Z65" s="73">
        <f t="shared" si="241"/>
        <v>0</v>
      </c>
      <c r="AA65" s="73">
        <f t="shared" si="241"/>
        <v>20604.499999999993</v>
      </c>
      <c r="AB65" s="73">
        <f t="shared" si="241"/>
        <v>0</v>
      </c>
      <c r="AC65" s="73">
        <f t="shared" si="241"/>
        <v>0</v>
      </c>
      <c r="AD65" s="73">
        <f t="shared" si="241"/>
        <v>0</v>
      </c>
      <c r="AE65" s="73">
        <f t="shared" si="241"/>
        <v>0</v>
      </c>
      <c r="AF65" s="73">
        <f t="shared" si="241"/>
        <v>0</v>
      </c>
      <c r="AG65" s="73">
        <f t="shared" si="241"/>
        <v>0</v>
      </c>
      <c r="AH65" s="73">
        <f t="shared" si="241"/>
        <v>0</v>
      </c>
      <c r="AI65" s="73">
        <f t="shared" si="241"/>
        <v>0</v>
      </c>
      <c r="AJ65" s="73">
        <f t="shared" si="241"/>
        <v>0</v>
      </c>
      <c r="AK65" s="73">
        <f t="shared" si="241"/>
        <v>0</v>
      </c>
      <c r="AL65" s="73">
        <f t="shared" si="241"/>
        <v>0</v>
      </c>
      <c r="AM65" s="73">
        <f t="shared" si="241"/>
        <v>20913.56749999999</v>
      </c>
      <c r="AN65" s="73">
        <f t="shared" si="241"/>
        <v>0</v>
      </c>
      <c r="AO65" s="73">
        <f t="shared" si="241"/>
        <v>0</v>
      </c>
      <c r="AP65" s="73">
        <f t="shared" si="241"/>
        <v>0</v>
      </c>
      <c r="AQ65" s="73">
        <f t="shared" si="241"/>
        <v>0</v>
      </c>
      <c r="AR65" s="73">
        <f t="shared" si="241"/>
        <v>0</v>
      </c>
      <c r="AS65" s="73">
        <f t="shared" si="241"/>
        <v>0</v>
      </c>
      <c r="AT65" s="73">
        <f t="shared" si="241"/>
        <v>0</v>
      </c>
      <c r="AU65" s="73">
        <f t="shared" si="241"/>
        <v>0</v>
      </c>
      <c r="AV65" s="73">
        <f t="shared" si="241"/>
        <v>0</v>
      </c>
      <c r="AW65" s="73">
        <f t="shared" si="241"/>
        <v>0</v>
      </c>
      <c r="AX65" s="73">
        <f t="shared" si="241"/>
        <v>0</v>
      </c>
      <c r="AY65" s="73">
        <f t="shared" si="241"/>
        <v>21227.271012499987</v>
      </c>
      <c r="AZ65" s="73">
        <f t="shared" si="241"/>
        <v>0</v>
      </c>
      <c r="BA65" s="73">
        <f t="shared" si="241"/>
        <v>0</v>
      </c>
      <c r="BB65" s="73">
        <f t="shared" si="241"/>
        <v>0</v>
      </c>
      <c r="BC65" s="73">
        <f t="shared" si="241"/>
        <v>0</v>
      </c>
      <c r="BD65" s="73">
        <f t="shared" si="241"/>
        <v>0</v>
      </c>
      <c r="BE65" s="73">
        <f t="shared" si="241"/>
        <v>0</v>
      </c>
      <c r="BF65" s="73">
        <f t="shared" si="241"/>
        <v>0</v>
      </c>
      <c r="BG65" s="73">
        <f t="shared" si="241"/>
        <v>0</v>
      </c>
      <c r="BH65" s="73">
        <f t="shared" si="241"/>
        <v>0</v>
      </c>
      <c r="BI65" s="73">
        <f t="shared" si="241"/>
        <v>0</v>
      </c>
      <c r="BJ65" s="73">
        <f t="shared" si="241"/>
        <v>0</v>
      </c>
      <c r="BK65" s="73">
        <f t="shared" si="241"/>
        <v>21545.680077687484</v>
      </c>
      <c r="BL65" s="73">
        <f t="shared" si="241"/>
        <v>0</v>
      </c>
      <c r="BM65" s="73">
        <f t="shared" si="241"/>
        <v>0</v>
      </c>
      <c r="BN65" s="73">
        <f t="shared" si="241"/>
        <v>0</v>
      </c>
      <c r="BO65" s="73">
        <f t="shared" ref="BO65:DZ65" si="242">IF(OR($B6="",$B6=0),"",($Q6/30)*BO17*BN41)</f>
        <v>0</v>
      </c>
      <c r="BP65" s="73">
        <f t="shared" si="242"/>
        <v>0</v>
      </c>
      <c r="BQ65" s="73">
        <f t="shared" si="242"/>
        <v>0</v>
      </c>
      <c r="BR65" s="73">
        <f t="shared" si="242"/>
        <v>0</v>
      </c>
      <c r="BS65" s="73">
        <f t="shared" si="242"/>
        <v>0</v>
      </c>
      <c r="BT65" s="73">
        <f t="shared" si="242"/>
        <v>0</v>
      </c>
      <c r="BU65" s="73">
        <f t="shared" si="242"/>
        <v>0</v>
      </c>
      <c r="BV65" s="73">
        <f t="shared" si="242"/>
        <v>0</v>
      </c>
      <c r="BW65" s="73">
        <f t="shared" si="242"/>
        <v>21868.865278852791</v>
      </c>
      <c r="BX65" s="73">
        <f t="shared" si="242"/>
        <v>0</v>
      </c>
      <c r="BY65" s="73">
        <f t="shared" si="242"/>
        <v>0</v>
      </c>
      <c r="BZ65" s="73">
        <f t="shared" si="242"/>
        <v>0</v>
      </c>
      <c r="CA65" s="73">
        <f t="shared" si="242"/>
        <v>0</v>
      </c>
      <c r="CB65" s="73">
        <f t="shared" si="242"/>
        <v>0</v>
      </c>
      <c r="CC65" s="73">
        <f t="shared" si="242"/>
        <v>0</v>
      </c>
      <c r="CD65" s="73">
        <f t="shared" si="242"/>
        <v>0</v>
      </c>
      <c r="CE65" s="73">
        <f t="shared" si="242"/>
        <v>0</v>
      </c>
      <c r="CF65" s="73">
        <f t="shared" si="242"/>
        <v>0</v>
      </c>
      <c r="CG65" s="73">
        <f t="shared" si="242"/>
        <v>0</v>
      </c>
      <c r="CH65" s="73">
        <f t="shared" si="242"/>
        <v>0</v>
      </c>
      <c r="CI65" s="73">
        <f t="shared" si="242"/>
        <v>22196.898258035581</v>
      </c>
      <c r="CJ65" s="73">
        <f t="shared" si="242"/>
        <v>0</v>
      </c>
      <c r="CK65" s="73">
        <f t="shared" si="242"/>
        <v>0</v>
      </c>
      <c r="CL65" s="73">
        <f t="shared" si="242"/>
        <v>0</v>
      </c>
      <c r="CM65" s="73">
        <f t="shared" si="242"/>
        <v>0</v>
      </c>
      <c r="CN65" s="73">
        <f t="shared" si="242"/>
        <v>0</v>
      </c>
      <c r="CO65" s="73">
        <f t="shared" si="242"/>
        <v>0</v>
      </c>
      <c r="CP65" s="73">
        <f t="shared" si="242"/>
        <v>0</v>
      </c>
      <c r="CQ65" s="73">
        <f t="shared" si="242"/>
        <v>0</v>
      </c>
      <c r="CR65" s="73">
        <f t="shared" si="242"/>
        <v>0</v>
      </c>
      <c r="CS65" s="73">
        <f t="shared" si="242"/>
        <v>0</v>
      </c>
      <c r="CT65" s="73">
        <f t="shared" si="242"/>
        <v>0</v>
      </c>
      <c r="CU65" s="73">
        <f t="shared" si="242"/>
        <v>22529.851731906114</v>
      </c>
      <c r="CV65" s="73">
        <f t="shared" si="242"/>
        <v>0</v>
      </c>
      <c r="CW65" s="73">
        <f t="shared" si="242"/>
        <v>0</v>
      </c>
      <c r="CX65" s="73">
        <f t="shared" si="242"/>
        <v>0</v>
      </c>
      <c r="CY65" s="73">
        <f t="shared" si="242"/>
        <v>0</v>
      </c>
      <c r="CZ65" s="73">
        <f t="shared" si="242"/>
        <v>0</v>
      </c>
      <c r="DA65" s="73">
        <f t="shared" si="242"/>
        <v>0</v>
      </c>
      <c r="DB65" s="73">
        <f t="shared" si="242"/>
        <v>0</v>
      </c>
      <c r="DC65" s="73">
        <f t="shared" si="242"/>
        <v>0</v>
      </c>
      <c r="DD65" s="73">
        <f t="shared" si="242"/>
        <v>0</v>
      </c>
      <c r="DE65" s="73">
        <f t="shared" si="242"/>
        <v>0</v>
      </c>
      <c r="DF65" s="73">
        <f t="shared" si="242"/>
        <v>0</v>
      </c>
      <c r="DG65" s="73">
        <f t="shared" si="242"/>
        <v>22867.799507884702</v>
      </c>
      <c r="DH65" s="73">
        <f t="shared" si="242"/>
        <v>0</v>
      </c>
      <c r="DI65" s="73">
        <f t="shared" si="242"/>
        <v>0</v>
      </c>
      <c r="DJ65" s="73">
        <f t="shared" si="242"/>
        <v>0</v>
      </c>
      <c r="DK65" s="73">
        <f t="shared" si="242"/>
        <v>0</v>
      </c>
      <c r="DL65" s="73">
        <f t="shared" si="242"/>
        <v>0</v>
      </c>
      <c r="DM65" s="73">
        <f t="shared" si="242"/>
        <v>0</v>
      </c>
      <c r="DN65" s="73">
        <f t="shared" si="242"/>
        <v>0</v>
      </c>
      <c r="DO65" s="73">
        <f t="shared" si="242"/>
        <v>0</v>
      </c>
      <c r="DP65" s="73">
        <f t="shared" si="242"/>
        <v>0</v>
      </c>
      <c r="DQ65" s="73">
        <f t="shared" si="242"/>
        <v>0</v>
      </c>
      <c r="DR65" s="73">
        <f t="shared" si="242"/>
        <v>0</v>
      </c>
      <c r="DS65" s="73">
        <f t="shared" si="242"/>
        <v>23210.816500502973</v>
      </c>
      <c r="DT65" s="73">
        <f t="shared" si="242"/>
        <v>0</v>
      </c>
      <c r="DU65" s="73">
        <f t="shared" si="242"/>
        <v>0</v>
      </c>
      <c r="DV65" s="73">
        <f t="shared" si="242"/>
        <v>0</v>
      </c>
      <c r="DW65" s="73">
        <f t="shared" si="242"/>
        <v>0</v>
      </c>
      <c r="DX65" s="73">
        <f t="shared" si="242"/>
        <v>0</v>
      </c>
      <c r="DY65" s="73">
        <f t="shared" si="242"/>
        <v>0</v>
      </c>
      <c r="DZ65" s="73">
        <f t="shared" si="242"/>
        <v>0</v>
      </c>
      <c r="EA65" s="73">
        <f t="shared" ref="EA65:FZ65" si="243">IF(OR($B6="",$B6=0),"",($Q6/30)*EA17*DZ41)</f>
        <v>0</v>
      </c>
      <c r="EB65" s="73">
        <f t="shared" si="243"/>
        <v>0</v>
      </c>
      <c r="EC65" s="73">
        <f t="shared" si="243"/>
        <v>0</v>
      </c>
      <c r="ED65" s="73">
        <f t="shared" si="243"/>
        <v>0</v>
      </c>
      <c r="EE65" s="73">
        <f t="shared" si="243"/>
        <v>23558.978748010515</v>
      </c>
      <c r="EF65" s="73">
        <f t="shared" si="243"/>
        <v>0</v>
      </c>
      <c r="EG65" s="73">
        <f t="shared" si="243"/>
        <v>0</v>
      </c>
      <c r="EH65" s="73">
        <f t="shared" si="243"/>
        <v>0</v>
      </c>
      <c r="EI65" s="73">
        <f t="shared" si="243"/>
        <v>0</v>
      </c>
      <c r="EJ65" s="73">
        <f t="shared" si="243"/>
        <v>0</v>
      </c>
      <c r="EK65" s="73">
        <f t="shared" si="243"/>
        <v>0</v>
      </c>
      <c r="EL65" s="73">
        <f t="shared" si="243"/>
        <v>0</v>
      </c>
      <c r="EM65" s="73">
        <f t="shared" si="243"/>
        <v>0</v>
      </c>
      <c r="EN65" s="73">
        <f t="shared" si="243"/>
        <v>0</v>
      </c>
      <c r="EO65" s="73">
        <f t="shared" si="243"/>
        <v>0</v>
      </c>
      <c r="EP65" s="73">
        <f t="shared" si="243"/>
        <v>0</v>
      </c>
      <c r="EQ65" s="73">
        <f t="shared" si="243"/>
        <v>23912.363429230667</v>
      </c>
      <c r="ER65" s="73">
        <f t="shared" si="243"/>
        <v>0</v>
      </c>
      <c r="ES65" s="73">
        <f t="shared" si="243"/>
        <v>0</v>
      </c>
      <c r="ET65" s="73">
        <f t="shared" si="243"/>
        <v>0</v>
      </c>
      <c r="EU65" s="73">
        <f t="shared" si="243"/>
        <v>0</v>
      </c>
      <c r="EV65" s="73">
        <f t="shared" si="243"/>
        <v>0</v>
      </c>
      <c r="EW65" s="73">
        <f t="shared" si="243"/>
        <v>0</v>
      </c>
      <c r="EX65" s="73">
        <f t="shared" si="243"/>
        <v>0</v>
      </c>
      <c r="EY65" s="73">
        <f t="shared" si="243"/>
        <v>0</v>
      </c>
      <c r="EZ65" s="73">
        <f t="shared" si="243"/>
        <v>0</v>
      </c>
      <c r="FA65" s="73">
        <f t="shared" si="243"/>
        <v>0</v>
      </c>
      <c r="FB65" s="73">
        <f t="shared" si="243"/>
        <v>0</v>
      </c>
      <c r="FC65" s="73">
        <f t="shared" si="243"/>
        <v>24271.048880669121</v>
      </c>
      <c r="FD65" s="73">
        <f t="shared" si="243"/>
        <v>0</v>
      </c>
      <c r="FE65" s="73">
        <f t="shared" si="243"/>
        <v>0</v>
      </c>
      <c r="FF65" s="73">
        <f t="shared" si="243"/>
        <v>0</v>
      </c>
      <c r="FG65" s="73">
        <f t="shared" si="243"/>
        <v>0</v>
      </c>
      <c r="FH65" s="73">
        <f t="shared" si="243"/>
        <v>0</v>
      </c>
      <c r="FI65" s="73">
        <f t="shared" si="243"/>
        <v>0</v>
      </c>
      <c r="FJ65" s="73">
        <f t="shared" si="243"/>
        <v>0</v>
      </c>
      <c r="FK65" s="73">
        <f t="shared" si="243"/>
        <v>0</v>
      </c>
      <c r="FL65" s="73">
        <f t="shared" si="243"/>
        <v>0</v>
      </c>
      <c r="FM65" s="73">
        <f t="shared" si="243"/>
        <v>0</v>
      </c>
      <c r="FN65" s="73">
        <f t="shared" si="243"/>
        <v>0</v>
      </c>
      <c r="FO65" s="73">
        <f t="shared" si="243"/>
        <v>24635.114613879156</v>
      </c>
      <c r="FP65" s="73">
        <f t="shared" si="243"/>
        <v>0</v>
      </c>
      <c r="FQ65" s="73">
        <f t="shared" si="243"/>
        <v>0</v>
      </c>
      <c r="FR65" s="73">
        <f t="shared" si="243"/>
        <v>0</v>
      </c>
      <c r="FS65" s="73">
        <f t="shared" si="243"/>
        <v>0</v>
      </c>
      <c r="FT65" s="73">
        <f t="shared" si="243"/>
        <v>0</v>
      </c>
      <c r="FU65" s="73">
        <f t="shared" si="243"/>
        <v>0</v>
      </c>
      <c r="FV65" s="73">
        <f t="shared" si="243"/>
        <v>0</v>
      </c>
      <c r="FW65" s="73">
        <f t="shared" si="243"/>
        <v>0</v>
      </c>
      <c r="FX65" s="73">
        <f t="shared" si="243"/>
        <v>0</v>
      </c>
      <c r="FY65" s="73">
        <f t="shared" si="243"/>
        <v>0</v>
      </c>
      <c r="FZ65" s="86">
        <f t="shared" si="243"/>
        <v>0</v>
      </c>
    </row>
    <row r="66" spans="2:182" x14ac:dyDescent="0.2">
      <c r="B66" s="85"/>
      <c r="C66" s="73">
        <f t="shared" ref="C66:BN66" si="244">IF(OR($B7="",$B7=0),"",($Q7/30)*C18*B42)</f>
        <v>0</v>
      </c>
      <c r="D66" s="73">
        <f t="shared" si="244"/>
        <v>0</v>
      </c>
      <c r="E66" s="73">
        <f t="shared" si="244"/>
        <v>0</v>
      </c>
      <c r="F66" s="73">
        <f t="shared" si="244"/>
        <v>0</v>
      </c>
      <c r="G66" s="73">
        <f t="shared" si="244"/>
        <v>0</v>
      </c>
      <c r="H66" s="73">
        <f t="shared" si="244"/>
        <v>0</v>
      </c>
      <c r="I66" s="73">
        <f t="shared" si="244"/>
        <v>0</v>
      </c>
      <c r="J66" s="73">
        <f t="shared" si="244"/>
        <v>0</v>
      </c>
      <c r="K66" s="73">
        <f t="shared" si="244"/>
        <v>0</v>
      </c>
      <c r="L66" s="73">
        <f t="shared" si="244"/>
        <v>0</v>
      </c>
      <c r="M66" s="73">
        <f t="shared" si="244"/>
        <v>0</v>
      </c>
      <c r="N66" s="73">
        <f t="shared" si="244"/>
        <v>0</v>
      </c>
      <c r="O66" s="73">
        <f t="shared" si="244"/>
        <v>36377.599999999999</v>
      </c>
      <c r="P66" s="73">
        <f t="shared" si="244"/>
        <v>0</v>
      </c>
      <c r="Q66" s="73">
        <f t="shared" si="244"/>
        <v>0</v>
      </c>
      <c r="R66" s="73">
        <f t="shared" si="244"/>
        <v>0</v>
      </c>
      <c r="S66" s="73">
        <f t="shared" si="244"/>
        <v>0</v>
      </c>
      <c r="T66" s="73">
        <f t="shared" si="244"/>
        <v>0</v>
      </c>
      <c r="U66" s="73">
        <f t="shared" si="244"/>
        <v>0</v>
      </c>
      <c r="V66" s="73">
        <f t="shared" si="244"/>
        <v>0</v>
      </c>
      <c r="W66" s="73">
        <f t="shared" si="244"/>
        <v>0</v>
      </c>
      <c r="X66" s="73">
        <f t="shared" si="244"/>
        <v>0</v>
      </c>
      <c r="Y66" s="73">
        <f t="shared" si="244"/>
        <v>0</v>
      </c>
      <c r="Z66" s="73">
        <f t="shared" si="244"/>
        <v>0</v>
      </c>
      <c r="AA66" s="73">
        <f t="shared" si="244"/>
        <v>38077.115999999995</v>
      </c>
      <c r="AB66" s="73">
        <f t="shared" si="244"/>
        <v>0</v>
      </c>
      <c r="AC66" s="73">
        <f t="shared" si="244"/>
        <v>0</v>
      </c>
      <c r="AD66" s="73">
        <f t="shared" si="244"/>
        <v>0</v>
      </c>
      <c r="AE66" s="73">
        <f t="shared" si="244"/>
        <v>0</v>
      </c>
      <c r="AF66" s="73">
        <f t="shared" si="244"/>
        <v>0</v>
      </c>
      <c r="AG66" s="73">
        <f t="shared" si="244"/>
        <v>0</v>
      </c>
      <c r="AH66" s="73">
        <f t="shared" si="244"/>
        <v>0</v>
      </c>
      <c r="AI66" s="73">
        <f t="shared" si="244"/>
        <v>0</v>
      </c>
      <c r="AJ66" s="73">
        <f t="shared" si="244"/>
        <v>0</v>
      </c>
      <c r="AK66" s="73">
        <f t="shared" si="244"/>
        <v>0</v>
      </c>
      <c r="AL66" s="73">
        <f t="shared" si="244"/>
        <v>0</v>
      </c>
      <c r="AM66" s="73">
        <f t="shared" si="244"/>
        <v>38648.272739999986</v>
      </c>
      <c r="AN66" s="73">
        <f t="shared" si="244"/>
        <v>0</v>
      </c>
      <c r="AO66" s="73">
        <f t="shared" si="244"/>
        <v>0</v>
      </c>
      <c r="AP66" s="73">
        <f t="shared" si="244"/>
        <v>0</v>
      </c>
      <c r="AQ66" s="73">
        <f t="shared" si="244"/>
        <v>0</v>
      </c>
      <c r="AR66" s="73">
        <f t="shared" si="244"/>
        <v>0</v>
      </c>
      <c r="AS66" s="73">
        <f t="shared" si="244"/>
        <v>0</v>
      </c>
      <c r="AT66" s="73">
        <f t="shared" si="244"/>
        <v>0</v>
      </c>
      <c r="AU66" s="73">
        <f t="shared" si="244"/>
        <v>0</v>
      </c>
      <c r="AV66" s="73">
        <f t="shared" si="244"/>
        <v>0</v>
      </c>
      <c r="AW66" s="73">
        <f t="shared" si="244"/>
        <v>0</v>
      </c>
      <c r="AX66" s="73">
        <f t="shared" si="244"/>
        <v>0</v>
      </c>
      <c r="AY66" s="73">
        <f t="shared" si="244"/>
        <v>39227.996831099983</v>
      </c>
      <c r="AZ66" s="73">
        <f t="shared" si="244"/>
        <v>0</v>
      </c>
      <c r="BA66" s="73">
        <f t="shared" si="244"/>
        <v>0</v>
      </c>
      <c r="BB66" s="73">
        <f t="shared" si="244"/>
        <v>0</v>
      </c>
      <c r="BC66" s="73">
        <f t="shared" si="244"/>
        <v>0</v>
      </c>
      <c r="BD66" s="73">
        <f t="shared" si="244"/>
        <v>0</v>
      </c>
      <c r="BE66" s="73">
        <f t="shared" si="244"/>
        <v>0</v>
      </c>
      <c r="BF66" s="73">
        <f t="shared" si="244"/>
        <v>0</v>
      </c>
      <c r="BG66" s="73">
        <f t="shared" si="244"/>
        <v>0</v>
      </c>
      <c r="BH66" s="73">
        <f t="shared" si="244"/>
        <v>0</v>
      </c>
      <c r="BI66" s="73">
        <f t="shared" si="244"/>
        <v>0</v>
      </c>
      <c r="BJ66" s="73">
        <f t="shared" si="244"/>
        <v>0</v>
      </c>
      <c r="BK66" s="73">
        <f t="shared" si="244"/>
        <v>39816.416783566478</v>
      </c>
      <c r="BL66" s="73">
        <f t="shared" si="244"/>
        <v>0</v>
      </c>
      <c r="BM66" s="73">
        <f t="shared" si="244"/>
        <v>0</v>
      </c>
      <c r="BN66" s="73">
        <f t="shared" si="244"/>
        <v>0</v>
      </c>
      <c r="BO66" s="73">
        <f t="shared" ref="BO66:DZ66" si="245">IF(OR($B7="",$B7=0),"",($Q7/30)*BO18*BN42)</f>
        <v>0</v>
      </c>
      <c r="BP66" s="73">
        <f t="shared" si="245"/>
        <v>0</v>
      </c>
      <c r="BQ66" s="73">
        <f t="shared" si="245"/>
        <v>0</v>
      </c>
      <c r="BR66" s="73">
        <f t="shared" si="245"/>
        <v>0</v>
      </c>
      <c r="BS66" s="73">
        <f t="shared" si="245"/>
        <v>0</v>
      </c>
      <c r="BT66" s="73">
        <f t="shared" si="245"/>
        <v>0</v>
      </c>
      <c r="BU66" s="73">
        <f t="shared" si="245"/>
        <v>0</v>
      </c>
      <c r="BV66" s="73">
        <f t="shared" si="245"/>
        <v>0</v>
      </c>
      <c r="BW66" s="73">
        <f t="shared" si="245"/>
        <v>40413.663035319965</v>
      </c>
      <c r="BX66" s="73">
        <f t="shared" si="245"/>
        <v>0</v>
      </c>
      <c r="BY66" s="73">
        <f t="shared" si="245"/>
        <v>0</v>
      </c>
      <c r="BZ66" s="73">
        <f t="shared" si="245"/>
        <v>0</v>
      </c>
      <c r="CA66" s="73">
        <f t="shared" si="245"/>
        <v>0</v>
      </c>
      <c r="CB66" s="73">
        <f t="shared" si="245"/>
        <v>0</v>
      </c>
      <c r="CC66" s="73">
        <f t="shared" si="245"/>
        <v>0</v>
      </c>
      <c r="CD66" s="73">
        <f t="shared" si="245"/>
        <v>0</v>
      </c>
      <c r="CE66" s="73">
        <f t="shared" si="245"/>
        <v>0</v>
      </c>
      <c r="CF66" s="73">
        <f t="shared" si="245"/>
        <v>0</v>
      </c>
      <c r="CG66" s="73">
        <f t="shared" si="245"/>
        <v>0</v>
      </c>
      <c r="CH66" s="73">
        <f t="shared" si="245"/>
        <v>0</v>
      </c>
      <c r="CI66" s="73">
        <f t="shared" si="245"/>
        <v>41019.867980849762</v>
      </c>
      <c r="CJ66" s="73">
        <f t="shared" si="245"/>
        <v>0</v>
      </c>
      <c r="CK66" s="73">
        <f t="shared" si="245"/>
        <v>0</v>
      </c>
      <c r="CL66" s="73">
        <f t="shared" si="245"/>
        <v>0</v>
      </c>
      <c r="CM66" s="73">
        <f t="shared" si="245"/>
        <v>0</v>
      </c>
      <c r="CN66" s="73">
        <f t="shared" si="245"/>
        <v>0</v>
      </c>
      <c r="CO66" s="73">
        <f t="shared" si="245"/>
        <v>0</v>
      </c>
      <c r="CP66" s="73">
        <f t="shared" si="245"/>
        <v>0</v>
      </c>
      <c r="CQ66" s="73">
        <f t="shared" si="245"/>
        <v>0</v>
      </c>
      <c r="CR66" s="73">
        <f t="shared" si="245"/>
        <v>0</v>
      </c>
      <c r="CS66" s="73">
        <f t="shared" si="245"/>
        <v>0</v>
      </c>
      <c r="CT66" s="73">
        <f t="shared" si="245"/>
        <v>0</v>
      </c>
      <c r="CU66" s="73">
        <f t="shared" si="245"/>
        <v>41635.166000562502</v>
      </c>
      <c r="CV66" s="73">
        <f t="shared" si="245"/>
        <v>0</v>
      </c>
      <c r="CW66" s="73">
        <f t="shared" si="245"/>
        <v>0</v>
      </c>
      <c r="CX66" s="73">
        <f t="shared" si="245"/>
        <v>0</v>
      </c>
      <c r="CY66" s="73">
        <f t="shared" si="245"/>
        <v>0</v>
      </c>
      <c r="CZ66" s="73">
        <f t="shared" si="245"/>
        <v>0</v>
      </c>
      <c r="DA66" s="73">
        <f t="shared" si="245"/>
        <v>0</v>
      </c>
      <c r="DB66" s="73">
        <f t="shared" si="245"/>
        <v>0</v>
      </c>
      <c r="DC66" s="73">
        <f t="shared" si="245"/>
        <v>0</v>
      </c>
      <c r="DD66" s="73">
        <f t="shared" si="245"/>
        <v>0</v>
      </c>
      <c r="DE66" s="73">
        <f t="shared" si="245"/>
        <v>0</v>
      </c>
      <c r="DF66" s="73">
        <f t="shared" si="245"/>
        <v>0</v>
      </c>
      <c r="DG66" s="73">
        <f t="shared" si="245"/>
        <v>42259.693490570935</v>
      </c>
      <c r="DH66" s="73">
        <f t="shared" si="245"/>
        <v>0</v>
      </c>
      <c r="DI66" s="73">
        <f t="shared" si="245"/>
        <v>0</v>
      </c>
      <c r="DJ66" s="73">
        <f t="shared" si="245"/>
        <v>0</v>
      </c>
      <c r="DK66" s="73">
        <f t="shared" si="245"/>
        <v>0</v>
      </c>
      <c r="DL66" s="73">
        <f t="shared" si="245"/>
        <v>0</v>
      </c>
      <c r="DM66" s="73">
        <f t="shared" si="245"/>
        <v>0</v>
      </c>
      <c r="DN66" s="73">
        <f t="shared" si="245"/>
        <v>0</v>
      </c>
      <c r="DO66" s="73">
        <f t="shared" si="245"/>
        <v>0</v>
      </c>
      <c r="DP66" s="73">
        <f t="shared" si="245"/>
        <v>0</v>
      </c>
      <c r="DQ66" s="73">
        <f t="shared" si="245"/>
        <v>0</v>
      </c>
      <c r="DR66" s="73">
        <f t="shared" si="245"/>
        <v>0</v>
      </c>
      <c r="DS66" s="73">
        <f t="shared" si="245"/>
        <v>42893.588892929489</v>
      </c>
      <c r="DT66" s="73">
        <f t="shared" si="245"/>
        <v>0</v>
      </c>
      <c r="DU66" s="73">
        <f t="shared" si="245"/>
        <v>0</v>
      </c>
      <c r="DV66" s="73">
        <f t="shared" si="245"/>
        <v>0</v>
      </c>
      <c r="DW66" s="73">
        <f t="shared" si="245"/>
        <v>0</v>
      </c>
      <c r="DX66" s="73">
        <f t="shared" si="245"/>
        <v>0</v>
      </c>
      <c r="DY66" s="73">
        <f t="shared" si="245"/>
        <v>0</v>
      </c>
      <c r="DZ66" s="73">
        <f t="shared" si="245"/>
        <v>0</v>
      </c>
      <c r="EA66" s="73">
        <f t="shared" ref="EA66:FZ66" si="246">IF(OR($B7="",$B7=0),"",($Q7/30)*EA18*DZ42)</f>
        <v>0</v>
      </c>
      <c r="EB66" s="73">
        <f t="shared" si="246"/>
        <v>0</v>
      </c>
      <c r="EC66" s="73">
        <f t="shared" si="246"/>
        <v>0</v>
      </c>
      <c r="ED66" s="73">
        <f t="shared" si="246"/>
        <v>0</v>
      </c>
      <c r="EE66" s="73">
        <f t="shared" si="246"/>
        <v>43536.992726323428</v>
      </c>
      <c r="EF66" s="73">
        <f t="shared" si="246"/>
        <v>0</v>
      </c>
      <c r="EG66" s="73">
        <f t="shared" si="246"/>
        <v>0</v>
      </c>
      <c r="EH66" s="73">
        <f t="shared" si="246"/>
        <v>0</v>
      </c>
      <c r="EI66" s="73">
        <f t="shared" si="246"/>
        <v>0</v>
      </c>
      <c r="EJ66" s="73">
        <f t="shared" si="246"/>
        <v>0</v>
      </c>
      <c r="EK66" s="73">
        <f t="shared" si="246"/>
        <v>0</v>
      </c>
      <c r="EL66" s="73">
        <f t="shared" si="246"/>
        <v>0</v>
      </c>
      <c r="EM66" s="73">
        <f t="shared" si="246"/>
        <v>0</v>
      </c>
      <c r="EN66" s="73">
        <f t="shared" si="246"/>
        <v>0</v>
      </c>
      <c r="EO66" s="73">
        <f t="shared" si="246"/>
        <v>0</v>
      </c>
      <c r="EP66" s="73">
        <f t="shared" si="246"/>
        <v>0</v>
      </c>
      <c r="EQ66" s="73">
        <f t="shared" si="246"/>
        <v>44190.047617218275</v>
      </c>
      <c r="ER66" s="73">
        <f t="shared" si="246"/>
        <v>0</v>
      </c>
      <c r="ES66" s="73">
        <f t="shared" si="246"/>
        <v>0</v>
      </c>
      <c r="ET66" s="73">
        <f t="shared" si="246"/>
        <v>0</v>
      </c>
      <c r="EU66" s="73">
        <f t="shared" si="246"/>
        <v>0</v>
      </c>
      <c r="EV66" s="73">
        <f t="shared" si="246"/>
        <v>0</v>
      </c>
      <c r="EW66" s="73">
        <f t="shared" si="246"/>
        <v>0</v>
      </c>
      <c r="EX66" s="73">
        <f t="shared" si="246"/>
        <v>0</v>
      </c>
      <c r="EY66" s="73">
        <f t="shared" si="246"/>
        <v>0</v>
      </c>
      <c r="EZ66" s="73">
        <f t="shared" si="246"/>
        <v>0</v>
      </c>
      <c r="FA66" s="73">
        <f t="shared" si="246"/>
        <v>0</v>
      </c>
      <c r="FB66" s="73">
        <f t="shared" si="246"/>
        <v>0</v>
      </c>
      <c r="FC66" s="73">
        <f t="shared" si="246"/>
        <v>44852.898331476543</v>
      </c>
      <c r="FD66" s="73">
        <f t="shared" si="246"/>
        <v>0</v>
      </c>
      <c r="FE66" s="73">
        <f t="shared" si="246"/>
        <v>0</v>
      </c>
      <c r="FF66" s="73">
        <f t="shared" si="246"/>
        <v>0</v>
      </c>
      <c r="FG66" s="73">
        <f t="shared" si="246"/>
        <v>0</v>
      </c>
      <c r="FH66" s="73">
        <f t="shared" si="246"/>
        <v>0</v>
      </c>
      <c r="FI66" s="73">
        <f t="shared" si="246"/>
        <v>0</v>
      </c>
      <c r="FJ66" s="73">
        <f t="shared" si="246"/>
        <v>0</v>
      </c>
      <c r="FK66" s="73">
        <f t="shared" si="246"/>
        <v>0</v>
      </c>
      <c r="FL66" s="73">
        <f t="shared" si="246"/>
        <v>0</v>
      </c>
      <c r="FM66" s="73">
        <f t="shared" si="246"/>
        <v>0</v>
      </c>
      <c r="FN66" s="73">
        <f t="shared" si="246"/>
        <v>0</v>
      </c>
      <c r="FO66" s="73">
        <f t="shared" si="246"/>
        <v>45525.691806448682</v>
      </c>
      <c r="FP66" s="73">
        <f t="shared" si="246"/>
        <v>0</v>
      </c>
      <c r="FQ66" s="73">
        <f t="shared" si="246"/>
        <v>0</v>
      </c>
      <c r="FR66" s="73">
        <f t="shared" si="246"/>
        <v>0</v>
      </c>
      <c r="FS66" s="73">
        <f t="shared" si="246"/>
        <v>0</v>
      </c>
      <c r="FT66" s="73">
        <f t="shared" si="246"/>
        <v>0</v>
      </c>
      <c r="FU66" s="73">
        <f t="shared" si="246"/>
        <v>0</v>
      </c>
      <c r="FV66" s="73">
        <f t="shared" si="246"/>
        <v>0</v>
      </c>
      <c r="FW66" s="73">
        <f t="shared" si="246"/>
        <v>0</v>
      </c>
      <c r="FX66" s="73">
        <f t="shared" si="246"/>
        <v>0</v>
      </c>
      <c r="FY66" s="73">
        <f t="shared" si="246"/>
        <v>0</v>
      </c>
      <c r="FZ66" s="86">
        <f t="shared" si="246"/>
        <v>0</v>
      </c>
    </row>
    <row r="67" spans="2:182" x14ac:dyDescent="0.2">
      <c r="B67" s="85"/>
      <c r="C67" s="73">
        <f t="shared" ref="C67:BN67" si="247">IF(OR($B8="",$B8=0),"",($Q8/30)*C19*B43)</f>
        <v>0</v>
      </c>
      <c r="D67" s="73">
        <f t="shared" si="247"/>
        <v>0</v>
      </c>
      <c r="E67" s="73">
        <f t="shared" si="247"/>
        <v>0</v>
      </c>
      <c r="F67" s="73">
        <f t="shared" si="247"/>
        <v>0</v>
      </c>
      <c r="G67" s="73">
        <f t="shared" si="247"/>
        <v>0</v>
      </c>
      <c r="H67" s="73">
        <f t="shared" si="247"/>
        <v>0</v>
      </c>
      <c r="I67" s="73">
        <f t="shared" si="247"/>
        <v>0</v>
      </c>
      <c r="J67" s="73">
        <f t="shared" si="247"/>
        <v>0</v>
      </c>
      <c r="K67" s="73">
        <f t="shared" si="247"/>
        <v>0</v>
      </c>
      <c r="L67" s="73">
        <f t="shared" si="247"/>
        <v>0</v>
      </c>
      <c r="M67" s="73">
        <f t="shared" si="247"/>
        <v>0</v>
      </c>
      <c r="N67" s="73">
        <f t="shared" si="247"/>
        <v>0</v>
      </c>
      <c r="O67" s="73">
        <f t="shared" si="247"/>
        <v>18708.48</v>
      </c>
      <c r="P67" s="73">
        <f t="shared" si="247"/>
        <v>0</v>
      </c>
      <c r="Q67" s="73">
        <f t="shared" si="247"/>
        <v>0</v>
      </c>
      <c r="R67" s="73">
        <f t="shared" si="247"/>
        <v>0</v>
      </c>
      <c r="S67" s="73">
        <f t="shared" si="247"/>
        <v>0</v>
      </c>
      <c r="T67" s="73">
        <f t="shared" si="247"/>
        <v>0</v>
      </c>
      <c r="U67" s="73">
        <f t="shared" si="247"/>
        <v>0</v>
      </c>
      <c r="V67" s="73">
        <f t="shared" si="247"/>
        <v>0</v>
      </c>
      <c r="W67" s="73">
        <f t="shared" si="247"/>
        <v>0</v>
      </c>
      <c r="X67" s="73">
        <f t="shared" si="247"/>
        <v>0</v>
      </c>
      <c r="Y67" s="73">
        <f t="shared" si="247"/>
        <v>0</v>
      </c>
      <c r="Z67" s="73">
        <f t="shared" si="247"/>
        <v>0</v>
      </c>
      <c r="AA67" s="73">
        <f t="shared" si="247"/>
        <v>19340.757333333328</v>
      </c>
      <c r="AB67" s="73">
        <f t="shared" si="247"/>
        <v>0</v>
      </c>
      <c r="AC67" s="73">
        <f t="shared" si="247"/>
        <v>0</v>
      </c>
      <c r="AD67" s="73">
        <f t="shared" si="247"/>
        <v>0</v>
      </c>
      <c r="AE67" s="73">
        <f t="shared" si="247"/>
        <v>0</v>
      </c>
      <c r="AF67" s="73">
        <f t="shared" si="247"/>
        <v>0</v>
      </c>
      <c r="AG67" s="73">
        <f t="shared" si="247"/>
        <v>0</v>
      </c>
      <c r="AH67" s="73">
        <f t="shared" si="247"/>
        <v>0</v>
      </c>
      <c r="AI67" s="73">
        <f t="shared" si="247"/>
        <v>0</v>
      </c>
      <c r="AJ67" s="73">
        <f t="shared" si="247"/>
        <v>0</v>
      </c>
      <c r="AK67" s="73">
        <f t="shared" si="247"/>
        <v>0</v>
      </c>
      <c r="AL67" s="73">
        <f t="shared" si="247"/>
        <v>0</v>
      </c>
      <c r="AM67" s="73">
        <f t="shared" si="247"/>
        <v>19630.86869333333</v>
      </c>
      <c r="AN67" s="73">
        <f t="shared" si="247"/>
        <v>0</v>
      </c>
      <c r="AO67" s="73">
        <f t="shared" si="247"/>
        <v>0</v>
      </c>
      <c r="AP67" s="73">
        <f t="shared" si="247"/>
        <v>0</v>
      </c>
      <c r="AQ67" s="73">
        <f t="shared" si="247"/>
        <v>0</v>
      </c>
      <c r="AR67" s="73">
        <f t="shared" si="247"/>
        <v>0</v>
      </c>
      <c r="AS67" s="73">
        <f t="shared" si="247"/>
        <v>0</v>
      </c>
      <c r="AT67" s="73">
        <f t="shared" si="247"/>
        <v>0</v>
      </c>
      <c r="AU67" s="73">
        <f t="shared" si="247"/>
        <v>0</v>
      </c>
      <c r="AV67" s="73">
        <f t="shared" si="247"/>
        <v>0</v>
      </c>
      <c r="AW67" s="73">
        <f t="shared" si="247"/>
        <v>0</v>
      </c>
      <c r="AX67" s="73">
        <f t="shared" si="247"/>
        <v>0</v>
      </c>
      <c r="AY67" s="73">
        <f t="shared" si="247"/>
        <v>19925.331723733325</v>
      </c>
      <c r="AZ67" s="73">
        <f t="shared" si="247"/>
        <v>0</v>
      </c>
      <c r="BA67" s="73">
        <f t="shared" si="247"/>
        <v>0</v>
      </c>
      <c r="BB67" s="73">
        <f t="shared" si="247"/>
        <v>0</v>
      </c>
      <c r="BC67" s="73">
        <f t="shared" si="247"/>
        <v>0</v>
      </c>
      <c r="BD67" s="73">
        <f t="shared" si="247"/>
        <v>0</v>
      </c>
      <c r="BE67" s="73">
        <f t="shared" si="247"/>
        <v>0</v>
      </c>
      <c r="BF67" s="73">
        <f t="shared" si="247"/>
        <v>0</v>
      </c>
      <c r="BG67" s="73">
        <f t="shared" si="247"/>
        <v>0</v>
      </c>
      <c r="BH67" s="73">
        <f t="shared" si="247"/>
        <v>0</v>
      </c>
      <c r="BI67" s="73">
        <f t="shared" si="247"/>
        <v>0</v>
      </c>
      <c r="BJ67" s="73">
        <f t="shared" si="247"/>
        <v>0</v>
      </c>
      <c r="BK67" s="73">
        <f t="shared" si="247"/>
        <v>20224.211699589323</v>
      </c>
      <c r="BL67" s="73">
        <f t="shared" si="247"/>
        <v>0</v>
      </c>
      <c r="BM67" s="73">
        <f t="shared" si="247"/>
        <v>0</v>
      </c>
      <c r="BN67" s="73">
        <f t="shared" si="247"/>
        <v>0</v>
      </c>
      <c r="BO67" s="73">
        <f t="shared" ref="BO67:DZ67" si="248">IF(OR($B8="",$B8=0),"",($Q8/30)*BO19*BN43)</f>
        <v>0</v>
      </c>
      <c r="BP67" s="73">
        <f t="shared" si="248"/>
        <v>0</v>
      </c>
      <c r="BQ67" s="73">
        <f t="shared" si="248"/>
        <v>0</v>
      </c>
      <c r="BR67" s="73">
        <f t="shared" si="248"/>
        <v>0</v>
      </c>
      <c r="BS67" s="73">
        <f t="shared" si="248"/>
        <v>0</v>
      </c>
      <c r="BT67" s="73">
        <f t="shared" si="248"/>
        <v>0</v>
      </c>
      <c r="BU67" s="73">
        <f t="shared" si="248"/>
        <v>0</v>
      </c>
      <c r="BV67" s="73">
        <f t="shared" si="248"/>
        <v>0</v>
      </c>
      <c r="BW67" s="73">
        <f t="shared" si="248"/>
        <v>20527.574875083159</v>
      </c>
      <c r="BX67" s="73">
        <f t="shared" si="248"/>
        <v>0</v>
      </c>
      <c r="BY67" s="73">
        <f t="shared" si="248"/>
        <v>0</v>
      </c>
      <c r="BZ67" s="73">
        <f t="shared" si="248"/>
        <v>0</v>
      </c>
      <c r="CA67" s="73">
        <f t="shared" si="248"/>
        <v>0</v>
      </c>
      <c r="CB67" s="73">
        <f t="shared" si="248"/>
        <v>0</v>
      </c>
      <c r="CC67" s="73">
        <f t="shared" si="248"/>
        <v>0</v>
      </c>
      <c r="CD67" s="73">
        <f t="shared" si="248"/>
        <v>0</v>
      </c>
      <c r="CE67" s="73">
        <f t="shared" si="248"/>
        <v>0</v>
      </c>
      <c r="CF67" s="73">
        <f t="shared" si="248"/>
        <v>0</v>
      </c>
      <c r="CG67" s="73">
        <f t="shared" si="248"/>
        <v>0</v>
      </c>
      <c r="CH67" s="73">
        <f t="shared" si="248"/>
        <v>0</v>
      </c>
      <c r="CI67" s="73">
        <f t="shared" si="248"/>
        <v>20835.488498209404</v>
      </c>
      <c r="CJ67" s="73">
        <f t="shared" si="248"/>
        <v>0</v>
      </c>
      <c r="CK67" s="73">
        <f t="shared" si="248"/>
        <v>0</v>
      </c>
      <c r="CL67" s="73">
        <f t="shared" si="248"/>
        <v>0</v>
      </c>
      <c r="CM67" s="73">
        <f t="shared" si="248"/>
        <v>0</v>
      </c>
      <c r="CN67" s="73">
        <f t="shared" si="248"/>
        <v>0</v>
      </c>
      <c r="CO67" s="73">
        <f t="shared" si="248"/>
        <v>0</v>
      </c>
      <c r="CP67" s="73">
        <f t="shared" si="248"/>
        <v>0</v>
      </c>
      <c r="CQ67" s="73">
        <f t="shared" si="248"/>
        <v>0</v>
      </c>
      <c r="CR67" s="73">
        <f t="shared" si="248"/>
        <v>0</v>
      </c>
      <c r="CS67" s="73">
        <f t="shared" si="248"/>
        <v>0</v>
      </c>
      <c r="CT67" s="73">
        <f t="shared" si="248"/>
        <v>0</v>
      </c>
      <c r="CU67" s="73">
        <f t="shared" si="248"/>
        <v>21148.020825682543</v>
      </c>
      <c r="CV67" s="73">
        <f t="shared" si="248"/>
        <v>0</v>
      </c>
      <c r="CW67" s="73">
        <f t="shared" si="248"/>
        <v>0</v>
      </c>
      <c r="CX67" s="73">
        <f t="shared" si="248"/>
        <v>0</v>
      </c>
      <c r="CY67" s="73">
        <f t="shared" si="248"/>
        <v>0</v>
      </c>
      <c r="CZ67" s="73">
        <f t="shared" si="248"/>
        <v>0</v>
      </c>
      <c r="DA67" s="73">
        <f t="shared" si="248"/>
        <v>0</v>
      </c>
      <c r="DB67" s="73">
        <f t="shared" si="248"/>
        <v>0</v>
      </c>
      <c r="DC67" s="73">
        <f t="shared" si="248"/>
        <v>0</v>
      </c>
      <c r="DD67" s="73">
        <f t="shared" si="248"/>
        <v>0</v>
      </c>
      <c r="DE67" s="73">
        <f t="shared" si="248"/>
        <v>0</v>
      </c>
      <c r="DF67" s="73">
        <f t="shared" si="248"/>
        <v>0</v>
      </c>
      <c r="DG67" s="73">
        <f t="shared" si="248"/>
        <v>21465.241138067773</v>
      </c>
      <c r="DH67" s="73">
        <f t="shared" si="248"/>
        <v>0</v>
      </c>
      <c r="DI67" s="73">
        <f t="shared" si="248"/>
        <v>0</v>
      </c>
      <c r="DJ67" s="73">
        <f t="shared" si="248"/>
        <v>0</v>
      </c>
      <c r="DK67" s="73">
        <f t="shared" si="248"/>
        <v>0</v>
      </c>
      <c r="DL67" s="73">
        <f t="shared" si="248"/>
        <v>0</v>
      </c>
      <c r="DM67" s="73">
        <f t="shared" si="248"/>
        <v>0</v>
      </c>
      <c r="DN67" s="73">
        <f t="shared" si="248"/>
        <v>0</v>
      </c>
      <c r="DO67" s="73">
        <f t="shared" si="248"/>
        <v>0</v>
      </c>
      <c r="DP67" s="73">
        <f t="shared" si="248"/>
        <v>0</v>
      </c>
      <c r="DQ67" s="73">
        <f t="shared" si="248"/>
        <v>0</v>
      </c>
      <c r="DR67" s="73">
        <f t="shared" si="248"/>
        <v>0</v>
      </c>
      <c r="DS67" s="73">
        <f t="shared" si="248"/>
        <v>21787.219755138791</v>
      </c>
      <c r="DT67" s="73">
        <f t="shared" si="248"/>
        <v>0</v>
      </c>
      <c r="DU67" s="73">
        <f t="shared" si="248"/>
        <v>0</v>
      </c>
      <c r="DV67" s="73">
        <f t="shared" si="248"/>
        <v>0</v>
      </c>
      <c r="DW67" s="73">
        <f t="shared" si="248"/>
        <v>0</v>
      </c>
      <c r="DX67" s="73">
        <f t="shared" si="248"/>
        <v>0</v>
      </c>
      <c r="DY67" s="73">
        <f t="shared" si="248"/>
        <v>0</v>
      </c>
      <c r="DZ67" s="73">
        <f t="shared" si="248"/>
        <v>0</v>
      </c>
      <c r="EA67" s="73">
        <f t="shared" ref="EA67:FZ67" si="249">IF(OR($B8="",$B8=0),"",($Q8/30)*EA19*DZ43)</f>
        <v>0</v>
      </c>
      <c r="EB67" s="73">
        <f t="shared" si="249"/>
        <v>0</v>
      </c>
      <c r="EC67" s="73">
        <f t="shared" si="249"/>
        <v>0</v>
      </c>
      <c r="ED67" s="73">
        <f t="shared" si="249"/>
        <v>0</v>
      </c>
      <c r="EE67" s="73">
        <f t="shared" si="249"/>
        <v>22114.02805146587</v>
      </c>
      <c r="EF67" s="73">
        <f t="shared" si="249"/>
        <v>0</v>
      </c>
      <c r="EG67" s="73">
        <f t="shared" si="249"/>
        <v>0</v>
      </c>
      <c r="EH67" s="73">
        <f t="shared" si="249"/>
        <v>0</v>
      </c>
      <c r="EI67" s="73">
        <f t="shared" si="249"/>
        <v>0</v>
      </c>
      <c r="EJ67" s="73">
        <f t="shared" si="249"/>
        <v>0</v>
      </c>
      <c r="EK67" s="73">
        <f t="shared" si="249"/>
        <v>0</v>
      </c>
      <c r="EL67" s="73">
        <f t="shared" si="249"/>
        <v>0</v>
      </c>
      <c r="EM67" s="73">
        <f t="shared" si="249"/>
        <v>0</v>
      </c>
      <c r="EN67" s="73">
        <f t="shared" si="249"/>
        <v>0</v>
      </c>
      <c r="EO67" s="73">
        <f t="shared" si="249"/>
        <v>0</v>
      </c>
      <c r="EP67" s="73">
        <f t="shared" si="249"/>
        <v>0</v>
      </c>
      <c r="EQ67" s="73">
        <f t="shared" si="249"/>
        <v>22445.738472237852</v>
      </c>
      <c r="ER67" s="73">
        <f t="shared" si="249"/>
        <v>0</v>
      </c>
      <c r="ES67" s="73">
        <f t="shared" si="249"/>
        <v>0</v>
      </c>
      <c r="ET67" s="73">
        <f t="shared" si="249"/>
        <v>0</v>
      </c>
      <c r="EU67" s="73">
        <f t="shared" si="249"/>
        <v>0</v>
      </c>
      <c r="EV67" s="73">
        <f t="shared" si="249"/>
        <v>0</v>
      </c>
      <c r="EW67" s="73">
        <f t="shared" si="249"/>
        <v>0</v>
      </c>
      <c r="EX67" s="73">
        <f t="shared" si="249"/>
        <v>0</v>
      </c>
      <c r="EY67" s="73">
        <f t="shared" si="249"/>
        <v>0</v>
      </c>
      <c r="EZ67" s="73">
        <f t="shared" si="249"/>
        <v>0</v>
      </c>
      <c r="FA67" s="73">
        <f t="shared" si="249"/>
        <v>0</v>
      </c>
      <c r="FB67" s="73">
        <f t="shared" si="249"/>
        <v>0</v>
      </c>
      <c r="FC67" s="73">
        <f t="shared" si="249"/>
        <v>22782.424549321418</v>
      </c>
      <c r="FD67" s="73">
        <f t="shared" si="249"/>
        <v>0</v>
      </c>
      <c r="FE67" s="73">
        <f t="shared" si="249"/>
        <v>0</v>
      </c>
      <c r="FF67" s="73">
        <f t="shared" si="249"/>
        <v>0</v>
      </c>
      <c r="FG67" s="73">
        <f t="shared" si="249"/>
        <v>0</v>
      </c>
      <c r="FH67" s="73">
        <f t="shared" si="249"/>
        <v>0</v>
      </c>
      <c r="FI67" s="73">
        <f t="shared" si="249"/>
        <v>0</v>
      </c>
      <c r="FJ67" s="73">
        <f t="shared" si="249"/>
        <v>0</v>
      </c>
      <c r="FK67" s="73">
        <f t="shared" si="249"/>
        <v>0</v>
      </c>
      <c r="FL67" s="73">
        <f t="shared" si="249"/>
        <v>0</v>
      </c>
      <c r="FM67" s="73">
        <f t="shared" si="249"/>
        <v>0</v>
      </c>
      <c r="FN67" s="73">
        <f t="shared" si="249"/>
        <v>0</v>
      </c>
      <c r="FO67" s="73">
        <f t="shared" si="249"/>
        <v>23124.160917561236</v>
      </c>
      <c r="FP67" s="73">
        <f t="shared" si="249"/>
        <v>0</v>
      </c>
      <c r="FQ67" s="73">
        <f t="shared" si="249"/>
        <v>0</v>
      </c>
      <c r="FR67" s="73">
        <f t="shared" si="249"/>
        <v>0</v>
      </c>
      <c r="FS67" s="73">
        <f t="shared" si="249"/>
        <v>0</v>
      </c>
      <c r="FT67" s="73">
        <f t="shared" si="249"/>
        <v>0</v>
      </c>
      <c r="FU67" s="73">
        <f t="shared" si="249"/>
        <v>0</v>
      </c>
      <c r="FV67" s="73">
        <f t="shared" si="249"/>
        <v>0</v>
      </c>
      <c r="FW67" s="73">
        <f t="shared" si="249"/>
        <v>0</v>
      </c>
      <c r="FX67" s="73">
        <f t="shared" si="249"/>
        <v>0</v>
      </c>
      <c r="FY67" s="73">
        <f t="shared" si="249"/>
        <v>0</v>
      </c>
      <c r="FZ67" s="86">
        <f t="shared" si="249"/>
        <v>0</v>
      </c>
    </row>
    <row r="68" spans="2:182" x14ac:dyDescent="0.2">
      <c r="B68" s="85"/>
      <c r="C68" s="73">
        <f t="shared" ref="C68:BN68" si="250">IF(OR($B9="",$B9=0),"",($Q9/30)*C20*B44)</f>
        <v>0</v>
      </c>
      <c r="D68" s="73">
        <f t="shared" si="250"/>
        <v>0</v>
      </c>
      <c r="E68" s="73">
        <f t="shared" si="250"/>
        <v>0</v>
      </c>
      <c r="F68" s="73">
        <f t="shared" si="250"/>
        <v>0</v>
      </c>
      <c r="G68" s="73">
        <f t="shared" si="250"/>
        <v>0</v>
      </c>
      <c r="H68" s="73">
        <f t="shared" si="250"/>
        <v>0</v>
      </c>
      <c r="I68" s="73">
        <f t="shared" si="250"/>
        <v>0</v>
      </c>
      <c r="J68" s="73">
        <f t="shared" si="250"/>
        <v>0</v>
      </c>
      <c r="K68" s="73">
        <f t="shared" si="250"/>
        <v>0</v>
      </c>
      <c r="L68" s="73">
        <f t="shared" si="250"/>
        <v>0</v>
      </c>
      <c r="M68" s="73">
        <f t="shared" si="250"/>
        <v>0</v>
      </c>
      <c r="N68" s="73">
        <f t="shared" si="250"/>
        <v>0</v>
      </c>
      <c r="O68" s="73">
        <f t="shared" si="250"/>
        <v>18205.04</v>
      </c>
      <c r="P68" s="73">
        <f t="shared" si="250"/>
        <v>0</v>
      </c>
      <c r="Q68" s="73">
        <f t="shared" si="250"/>
        <v>0</v>
      </c>
      <c r="R68" s="73">
        <f t="shared" si="250"/>
        <v>0</v>
      </c>
      <c r="S68" s="73">
        <f t="shared" si="250"/>
        <v>0</v>
      </c>
      <c r="T68" s="73">
        <f t="shared" si="250"/>
        <v>0</v>
      </c>
      <c r="U68" s="73">
        <f t="shared" si="250"/>
        <v>0</v>
      </c>
      <c r="V68" s="73">
        <f t="shared" si="250"/>
        <v>0</v>
      </c>
      <c r="W68" s="73">
        <f t="shared" si="250"/>
        <v>0</v>
      </c>
      <c r="X68" s="73">
        <f t="shared" si="250"/>
        <v>0</v>
      </c>
      <c r="Y68" s="73">
        <f t="shared" si="250"/>
        <v>0</v>
      </c>
      <c r="Z68" s="73">
        <f t="shared" si="250"/>
        <v>0</v>
      </c>
      <c r="AA68" s="73">
        <f t="shared" si="250"/>
        <v>19261.086599999999</v>
      </c>
      <c r="AB68" s="73">
        <f t="shared" si="250"/>
        <v>0</v>
      </c>
      <c r="AC68" s="73">
        <f t="shared" si="250"/>
        <v>0</v>
      </c>
      <c r="AD68" s="73">
        <f t="shared" si="250"/>
        <v>0</v>
      </c>
      <c r="AE68" s="73">
        <f t="shared" si="250"/>
        <v>0</v>
      </c>
      <c r="AF68" s="73">
        <f t="shared" si="250"/>
        <v>0</v>
      </c>
      <c r="AG68" s="73">
        <f t="shared" si="250"/>
        <v>0</v>
      </c>
      <c r="AH68" s="73">
        <f t="shared" si="250"/>
        <v>0</v>
      </c>
      <c r="AI68" s="73">
        <f t="shared" si="250"/>
        <v>0</v>
      </c>
      <c r="AJ68" s="73">
        <f t="shared" si="250"/>
        <v>0</v>
      </c>
      <c r="AK68" s="73">
        <f t="shared" si="250"/>
        <v>0</v>
      </c>
      <c r="AL68" s="73">
        <f t="shared" si="250"/>
        <v>0</v>
      </c>
      <c r="AM68" s="73">
        <f t="shared" si="250"/>
        <v>19550.002898999996</v>
      </c>
      <c r="AN68" s="73">
        <f t="shared" si="250"/>
        <v>0</v>
      </c>
      <c r="AO68" s="73">
        <f t="shared" si="250"/>
        <v>0</v>
      </c>
      <c r="AP68" s="73">
        <f t="shared" si="250"/>
        <v>0</v>
      </c>
      <c r="AQ68" s="73">
        <f t="shared" si="250"/>
        <v>0</v>
      </c>
      <c r="AR68" s="73">
        <f t="shared" si="250"/>
        <v>0</v>
      </c>
      <c r="AS68" s="73">
        <f t="shared" si="250"/>
        <v>0</v>
      </c>
      <c r="AT68" s="73">
        <f t="shared" si="250"/>
        <v>0</v>
      </c>
      <c r="AU68" s="73">
        <f t="shared" si="250"/>
        <v>0</v>
      </c>
      <c r="AV68" s="73">
        <f t="shared" si="250"/>
        <v>0</v>
      </c>
      <c r="AW68" s="73">
        <f t="shared" si="250"/>
        <v>0</v>
      </c>
      <c r="AX68" s="73">
        <f t="shared" si="250"/>
        <v>0</v>
      </c>
      <c r="AY68" s="73">
        <f t="shared" si="250"/>
        <v>19843.252942484993</v>
      </c>
      <c r="AZ68" s="73">
        <f t="shared" si="250"/>
        <v>0</v>
      </c>
      <c r="BA68" s="73">
        <f t="shared" si="250"/>
        <v>0</v>
      </c>
      <c r="BB68" s="73">
        <f t="shared" si="250"/>
        <v>0</v>
      </c>
      <c r="BC68" s="73">
        <f t="shared" si="250"/>
        <v>0</v>
      </c>
      <c r="BD68" s="73">
        <f t="shared" si="250"/>
        <v>0</v>
      </c>
      <c r="BE68" s="73">
        <f t="shared" si="250"/>
        <v>0</v>
      </c>
      <c r="BF68" s="73">
        <f t="shared" si="250"/>
        <v>0</v>
      </c>
      <c r="BG68" s="73">
        <f t="shared" si="250"/>
        <v>0</v>
      </c>
      <c r="BH68" s="73">
        <f t="shared" si="250"/>
        <v>0</v>
      </c>
      <c r="BI68" s="73">
        <f t="shared" si="250"/>
        <v>0</v>
      </c>
      <c r="BJ68" s="73">
        <f t="shared" si="250"/>
        <v>0</v>
      </c>
      <c r="BK68" s="73">
        <f t="shared" si="250"/>
        <v>20140.901736622265</v>
      </c>
      <c r="BL68" s="73">
        <f t="shared" si="250"/>
        <v>0</v>
      </c>
      <c r="BM68" s="73">
        <f t="shared" si="250"/>
        <v>0</v>
      </c>
      <c r="BN68" s="73">
        <f t="shared" si="250"/>
        <v>0</v>
      </c>
      <c r="BO68" s="73">
        <f t="shared" ref="BO68:DZ68" si="251">IF(OR($B9="",$B9=0),"",($Q9/30)*BO20*BN44)</f>
        <v>0</v>
      </c>
      <c r="BP68" s="73">
        <f t="shared" si="251"/>
        <v>0</v>
      </c>
      <c r="BQ68" s="73">
        <f t="shared" si="251"/>
        <v>0</v>
      </c>
      <c r="BR68" s="73">
        <f t="shared" si="251"/>
        <v>0</v>
      </c>
      <c r="BS68" s="73">
        <f t="shared" si="251"/>
        <v>0</v>
      </c>
      <c r="BT68" s="73">
        <f t="shared" si="251"/>
        <v>0</v>
      </c>
      <c r="BU68" s="73">
        <f t="shared" si="251"/>
        <v>0</v>
      </c>
      <c r="BV68" s="73">
        <f t="shared" si="251"/>
        <v>0</v>
      </c>
      <c r="BW68" s="73">
        <f t="shared" si="251"/>
        <v>20443.015262671594</v>
      </c>
      <c r="BX68" s="73">
        <f t="shared" si="251"/>
        <v>0</v>
      </c>
      <c r="BY68" s="73">
        <f t="shared" si="251"/>
        <v>0</v>
      </c>
      <c r="BZ68" s="73">
        <f t="shared" si="251"/>
        <v>0</v>
      </c>
      <c r="CA68" s="73">
        <f t="shared" si="251"/>
        <v>0</v>
      </c>
      <c r="CB68" s="73">
        <f t="shared" si="251"/>
        <v>0</v>
      </c>
      <c r="CC68" s="73">
        <f t="shared" si="251"/>
        <v>0</v>
      </c>
      <c r="CD68" s="73">
        <f t="shared" si="251"/>
        <v>0</v>
      </c>
      <c r="CE68" s="73">
        <f t="shared" si="251"/>
        <v>0</v>
      </c>
      <c r="CF68" s="73">
        <f t="shared" si="251"/>
        <v>0</v>
      </c>
      <c r="CG68" s="73">
        <f t="shared" si="251"/>
        <v>0</v>
      </c>
      <c r="CH68" s="73">
        <f t="shared" si="251"/>
        <v>0</v>
      </c>
      <c r="CI68" s="73">
        <f t="shared" si="251"/>
        <v>20749.660491611667</v>
      </c>
      <c r="CJ68" s="73">
        <f t="shared" si="251"/>
        <v>0</v>
      </c>
      <c r="CK68" s="73">
        <f t="shared" si="251"/>
        <v>0</v>
      </c>
      <c r="CL68" s="73">
        <f t="shared" si="251"/>
        <v>0</v>
      </c>
      <c r="CM68" s="73">
        <f t="shared" si="251"/>
        <v>0</v>
      </c>
      <c r="CN68" s="73">
        <f t="shared" si="251"/>
        <v>0</v>
      </c>
      <c r="CO68" s="73">
        <f t="shared" si="251"/>
        <v>0</v>
      </c>
      <c r="CP68" s="73">
        <f t="shared" si="251"/>
        <v>0</v>
      </c>
      <c r="CQ68" s="73">
        <f t="shared" si="251"/>
        <v>0</v>
      </c>
      <c r="CR68" s="73">
        <f t="shared" si="251"/>
        <v>0</v>
      </c>
      <c r="CS68" s="73">
        <f t="shared" si="251"/>
        <v>0</v>
      </c>
      <c r="CT68" s="73">
        <f t="shared" si="251"/>
        <v>0</v>
      </c>
      <c r="CU68" s="73">
        <f t="shared" si="251"/>
        <v>21060.905398985837</v>
      </c>
      <c r="CV68" s="73">
        <f t="shared" si="251"/>
        <v>0</v>
      </c>
      <c r="CW68" s="73">
        <f t="shared" si="251"/>
        <v>0</v>
      </c>
      <c r="CX68" s="73">
        <f t="shared" si="251"/>
        <v>0</v>
      </c>
      <c r="CY68" s="73">
        <f t="shared" si="251"/>
        <v>0</v>
      </c>
      <c r="CZ68" s="73">
        <f t="shared" si="251"/>
        <v>0</v>
      </c>
      <c r="DA68" s="73">
        <f t="shared" si="251"/>
        <v>0</v>
      </c>
      <c r="DB68" s="73">
        <f t="shared" si="251"/>
        <v>0</v>
      </c>
      <c r="DC68" s="73">
        <f t="shared" si="251"/>
        <v>0</v>
      </c>
      <c r="DD68" s="73">
        <f t="shared" si="251"/>
        <v>0</v>
      </c>
      <c r="DE68" s="73">
        <f t="shared" si="251"/>
        <v>0</v>
      </c>
      <c r="DF68" s="73">
        <f t="shared" si="251"/>
        <v>0</v>
      </c>
      <c r="DG68" s="73">
        <f t="shared" si="251"/>
        <v>21376.818979970623</v>
      </c>
      <c r="DH68" s="73">
        <f t="shared" si="251"/>
        <v>0</v>
      </c>
      <c r="DI68" s="73">
        <f t="shared" si="251"/>
        <v>0</v>
      </c>
      <c r="DJ68" s="73">
        <f t="shared" si="251"/>
        <v>0</v>
      </c>
      <c r="DK68" s="73">
        <f t="shared" si="251"/>
        <v>0</v>
      </c>
      <c r="DL68" s="73">
        <f t="shared" si="251"/>
        <v>0</v>
      </c>
      <c r="DM68" s="73">
        <f t="shared" si="251"/>
        <v>0</v>
      </c>
      <c r="DN68" s="73">
        <f t="shared" si="251"/>
        <v>0</v>
      </c>
      <c r="DO68" s="73">
        <f t="shared" si="251"/>
        <v>0</v>
      </c>
      <c r="DP68" s="73">
        <f t="shared" si="251"/>
        <v>0</v>
      </c>
      <c r="DQ68" s="73">
        <f t="shared" si="251"/>
        <v>0</v>
      </c>
      <c r="DR68" s="73">
        <f t="shared" si="251"/>
        <v>0</v>
      </c>
      <c r="DS68" s="73">
        <f t="shared" si="251"/>
        <v>21697.471264670181</v>
      </c>
      <c r="DT68" s="73">
        <f t="shared" si="251"/>
        <v>0</v>
      </c>
      <c r="DU68" s="73">
        <f t="shared" si="251"/>
        <v>0</v>
      </c>
      <c r="DV68" s="73">
        <f t="shared" si="251"/>
        <v>0</v>
      </c>
      <c r="DW68" s="73">
        <f t="shared" si="251"/>
        <v>0</v>
      </c>
      <c r="DX68" s="73">
        <f t="shared" si="251"/>
        <v>0</v>
      </c>
      <c r="DY68" s="73">
        <f t="shared" si="251"/>
        <v>0</v>
      </c>
      <c r="DZ68" s="73">
        <f t="shared" si="251"/>
        <v>0</v>
      </c>
      <c r="EA68" s="73">
        <f t="shared" ref="EA68:FZ68" si="252">IF(OR($B9="",$B9=0),"",($Q9/30)*EA20*DZ44)</f>
        <v>0</v>
      </c>
      <c r="EB68" s="73">
        <f t="shared" si="252"/>
        <v>0</v>
      </c>
      <c r="EC68" s="73">
        <f t="shared" si="252"/>
        <v>0</v>
      </c>
      <c r="ED68" s="73">
        <f t="shared" si="252"/>
        <v>0</v>
      </c>
      <c r="EE68" s="73">
        <f t="shared" si="252"/>
        <v>22022.933333640231</v>
      </c>
      <c r="EF68" s="73">
        <f t="shared" si="252"/>
        <v>0</v>
      </c>
      <c r="EG68" s="73">
        <f t="shared" si="252"/>
        <v>0</v>
      </c>
      <c r="EH68" s="73">
        <f t="shared" si="252"/>
        <v>0</v>
      </c>
      <c r="EI68" s="73">
        <f t="shared" si="252"/>
        <v>0</v>
      </c>
      <c r="EJ68" s="73">
        <f t="shared" si="252"/>
        <v>0</v>
      </c>
      <c r="EK68" s="73">
        <f t="shared" si="252"/>
        <v>0</v>
      </c>
      <c r="EL68" s="73">
        <f t="shared" si="252"/>
        <v>0</v>
      </c>
      <c r="EM68" s="73">
        <f t="shared" si="252"/>
        <v>0</v>
      </c>
      <c r="EN68" s="73">
        <f t="shared" si="252"/>
        <v>0</v>
      </c>
      <c r="EO68" s="73">
        <f t="shared" si="252"/>
        <v>0</v>
      </c>
      <c r="EP68" s="73">
        <f t="shared" si="252"/>
        <v>0</v>
      </c>
      <c r="EQ68" s="73">
        <f t="shared" si="252"/>
        <v>22353.277333644826</v>
      </c>
      <c r="ER68" s="73">
        <f t="shared" si="252"/>
        <v>0</v>
      </c>
      <c r="ES68" s="73">
        <f t="shared" si="252"/>
        <v>0</v>
      </c>
      <c r="ET68" s="73">
        <f t="shared" si="252"/>
        <v>0</v>
      </c>
      <c r="EU68" s="73">
        <f t="shared" si="252"/>
        <v>0</v>
      </c>
      <c r="EV68" s="73">
        <f t="shared" si="252"/>
        <v>0</v>
      </c>
      <c r="EW68" s="73">
        <f t="shared" si="252"/>
        <v>0</v>
      </c>
      <c r="EX68" s="73">
        <f t="shared" si="252"/>
        <v>0</v>
      </c>
      <c r="EY68" s="73">
        <f t="shared" si="252"/>
        <v>0</v>
      </c>
      <c r="EZ68" s="73">
        <f t="shared" si="252"/>
        <v>0</v>
      </c>
      <c r="FA68" s="73">
        <f t="shared" si="252"/>
        <v>0</v>
      </c>
      <c r="FB68" s="73">
        <f t="shared" si="252"/>
        <v>0</v>
      </c>
      <c r="FC68" s="73">
        <f t="shared" si="252"/>
        <v>22688.5764936495</v>
      </c>
      <c r="FD68" s="73">
        <f t="shared" si="252"/>
        <v>0</v>
      </c>
      <c r="FE68" s="73">
        <f t="shared" si="252"/>
        <v>0</v>
      </c>
      <c r="FF68" s="73">
        <f t="shared" si="252"/>
        <v>0</v>
      </c>
      <c r="FG68" s="73">
        <f t="shared" si="252"/>
        <v>0</v>
      </c>
      <c r="FH68" s="73">
        <f t="shared" si="252"/>
        <v>0</v>
      </c>
      <c r="FI68" s="73">
        <f t="shared" si="252"/>
        <v>0</v>
      </c>
      <c r="FJ68" s="73">
        <f t="shared" si="252"/>
        <v>0</v>
      </c>
      <c r="FK68" s="73">
        <f t="shared" si="252"/>
        <v>0</v>
      </c>
      <c r="FL68" s="73">
        <f t="shared" si="252"/>
        <v>0</v>
      </c>
      <c r="FM68" s="73">
        <f t="shared" si="252"/>
        <v>0</v>
      </c>
      <c r="FN68" s="73">
        <f t="shared" si="252"/>
        <v>0</v>
      </c>
      <c r="FO68" s="73">
        <f t="shared" si="252"/>
        <v>23028.905141054234</v>
      </c>
      <c r="FP68" s="73">
        <f t="shared" si="252"/>
        <v>0</v>
      </c>
      <c r="FQ68" s="73">
        <f t="shared" si="252"/>
        <v>0</v>
      </c>
      <c r="FR68" s="73">
        <f t="shared" si="252"/>
        <v>0</v>
      </c>
      <c r="FS68" s="73">
        <f t="shared" si="252"/>
        <v>0</v>
      </c>
      <c r="FT68" s="73">
        <f t="shared" si="252"/>
        <v>0</v>
      </c>
      <c r="FU68" s="73">
        <f t="shared" si="252"/>
        <v>0</v>
      </c>
      <c r="FV68" s="73">
        <f t="shared" si="252"/>
        <v>0</v>
      </c>
      <c r="FW68" s="73">
        <f t="shared" si="252"/>
        <v>0</v>
      </c>
      <c r="FX68" s="73">
        <f t="shared" si="252"/>
        <v>0</v>
      </c>
      <c r="FY68" s="73">
        <f t="shared" si="252"/>
        <v>0</v>
      </c>
      <c r="FZ68" s="86">
        <f t="shared" si="252"/>
        <v>0</v>
      </c>
    </row>
    <row r="69" spans="2:182" x14ac:dyDescent="0.2">
      <c r="B69" s="85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  <c r="BH69" s="81"/>
      <c r="BI69" s="81"/>
      <c r="BJ69" s="81"/>
      <c r="BK69" s="81"/>
      <c r="BL69" s="81"/>
      <c r="BM69" s="81"/>
      <c r="BN69" s="81"/>
      <c r="BO69" s="81"/>
      <c r="BP69" s="81"/>
      <c r="BQ69" s="81"/>
      <c r="BR69" s="81"/>
      <c r="BS69" s="81"/>
      <c r="BT69" s="81"/>
      <c r="BU69" s="81"/>
      <c r="BV69" s="81"/>
      <c r="BW69" s="81"/>
      <c r="BX69" s="81"/>
      <c r="BY69" s="81"/>
      <c r="BZ69" s="81"/>
      <c r="CA69" s="81"/>
      <c r="CB69" s="81"/>
      <c r="CC69" s="81"/>
      <c r="CD69" s="81"/>
      <c r="CE69" s="81"/>
      <c r="CF69" s="81"/>
      <c r="CG69" s="81"/>
      <c r="CH69" s="81"/>
      <c r="CI69" s="81"/>
      <c r="CJ69" s="81"/>
      <c r="CK69" s="81"/>
      <c r="CL69" s="81"/>
      <c r="CM69" s="81"/>
      <c r="CN69" s="81"/>
      <c r="CO69" s="81"/>
      <c r="CP69" s="81"/>
      <c r="CQ69" s="81"/>
      <c r="CR69" s="81"/>
      <c r="CS69" s="81"/>
      <c r="CT69" s="81"/>
      <c r="CU69" s="81"/>
      <c r="CV69" s="81"/>
      <c r="CW69" s="81"/>
      <c r="CX69" s="81"/>
      <c r="CY69" s="81"/>
      <c r="CZ69" s="81"/>
      <c r="DA69" s="81"/>
      <c r="DB69" s="81"/>
      <c r="DC69" s="81"/>
      <c r="DD69" s="81"/>
      <c r="DE69" s="81"/>
      <c r="DF69" s="81"/>
      <c r="DG69" s="81"/>
      <c r="DH69" s="81"/>
      <c r="DI69" s="81"/>
      <c r="DJ69" s="81"/>
      <c r="DK69" s="81"/>
      <c r="DL69" s="81"/>
      <c r="DM69" s="81"/>
      <c r="DN69" s="81"/>
      <c r="DO69" s="81"/>
      <c r="DP69" s="81"/>
      <c r="DQ69" s="81"/>
      <c r="DR69" s="81"/>
      <c r="DS69" s="81"/>
      <c r="DT69" s="81"/>
      <c r="DU69" s="81"/>
      <c r="DV69" s="81"/>
      <c r="DW69" s="81"/>
      <c r="DX69" s="81"/>
      <c r="DY69" s="81"/>
      <c r="DZ69" s="81"/>
      <c r="EA69" s="81"/>
      <c r="EB69" s="81"/>
      <c r="EC69" s="81"/>
      <c r="ED69" s="81"/>
      <c r="EE69" s="81"/>
      <c r="EF69" s="81"/>
      <c r="EG69" s="81"/>
      <c r="EH69" s="81"/>
      <c r="EI69" s="81"/>
      <c r="EJ69" s="81"/>
      <c r="EK69" s="81"/>
      <c r="EL69" s="81"/>
      <c r="EM69" s="81"/>
      <c r="EN69" s="81"/>
      <c r="EO69" s="81"/>
      <c r="EP69" s="81"/>
      <c r="EQ69" s="81"/>
      <c r="ER69" s="81"/>
      <c r="ES69" s="81"/>
      <c r="ET69" s="81"/>
      <c r="EU69" s="81"/>
      <c r="EV69" s="81"/>
      <c r="EW69" s="81"/>
      <c r="EX69" s="81"/>
      <c r="EY69" s="81"/>
      <c r="EZ69" s="81"/>
      <c r="FA69" s="81"/>
      <c r="FB69" s="81"/>
      <c r="FC69" s="81"/>
      <c r="FD69" s="81"/>
      <c r="FE69" s="81"/>
      <c r="FF69" s="81"/>
      <c r="FG69" s="81"/>
      <c r="FH69" s="81"/>
      <c r="FI69" s="81"/>
      <c r="FJ69" s="81"/>
      <c r="FK69" s="81"/>
      <c r="FL69" s="81"/>
      <c r="FM69" s="81"/>
      <c r="FN69" s="81"/>
      <c r="FO69" s="81"/>
      <c r="FP69" s="81"/>
      <c r="FQ69" s="81"/>
      <c r="FR69" s="81"/>
      <c r="FS69" s="81"/>
      <c r="FT69" s="81"/>
      <c r="FU69" s="81"/>
      <c r="FV69" s="81"/>
      <c r="FW69" s="81"/>
      <c r="FX69" s="81"/>
      <c r="FY69" s="81"/>
      <c r="FZ69" s="82"/>
    </row>
    <row r="70" spans="2:182" x14ac:dyDescent="0.2">
      <c r="B70" s="77" t="s">
        <v>132</v>
      </c>
      <c r="C70" s="72">
        <f>MAX(C71,C72)</f>
        <v>36290.800000000003</v>
      </c>
      <c r="D70" s="72">
        <f t="shared" ref="D70:BO70" si="253">MAX(D71,D72)</f>
        <v>36290.800000000003</v>
      </c>
      <c r="E70" s="72">
        <f t="shared" si="253"/>
        <v>36290.800000000003</v>
      </c>
      <c r="F70" s="72">
        <f t="shared" si="253"/>
        <v>36290.800000000003</v>
      </c>
      <c r="G70" s="72">
        <f t="shared" si="253"/>
        <v>36290.800000000003</v>
      </c>
      <c r="H70" s="72">
        <f t="shared" si="253"/>
        <v>36290.800000000003</v>
      </c>
      <c r="I70" s="72">
        <f t="shared" si="253"/>
        <v>36290.800000000003</v>
      </c>
      <c r="J70" s="72">
        <f t="shared" si="253"/>
        <v>36290.800000000003</v>
      </c>
      <c r="K70" s="72">
        <f t="shared" si="253"/>
        <v>36290.800000000003</v>
      </c>
      <c r="L70" s="72">
        <f t="shared" si="253"/>
        <v>36290.800000000003</v>
      </c>
      <c r="M70" s="72">
        <f t="shared" si="253"/>
        <v>36290.800000000003</v>
      </c>
      <c r="N70" s="72">
        <f t="shared" si="253"/>
        <v>36290.800000000003</v>
      </c>
      <c r="O70" s="72">
        <f t="shared" si="253"/>
        <v>109783.75333333333</v>
      </c>
      <c r="P70" s="72">
        <f t="shared" si="253"/>
        <v>37376.156999999999</v>
      </c>
      <c r="Q70" s="72">
        <f t="shared" si="253"/>
        <v>37376.156999999999</v>
      </c>
      <c r="R70" s="72">
        <f t="shared" si="253"/>
        <v>37882.845000000001</v>
      </c>
      <c r="S70" s="72">
        <f t="shared" si="253"/>
        <v>37882.845000000001</v>
      </c>
      <c r="T70" s="72">
        <f t="shared" si="253"/>
        <v>37882.845000000001</v>
      </c>
      <c r="U70" s="72">
        <f t="shared" si="253"/>
        <v>38278.695</v>
      </c>
      <c r="V70" s="72">
        <f t="shared" si="253"/>
        <v>38476.620000000003</v>
      </c>
      <c r="W70" s="72">
        <f t="shared" si="253"/>
        <v>38476.620000000003</v>
      </c>
      <c r="X70" s="72">
        <f t="shared" si="253"/>
        <v>38476.620000000003</v>
      </c>
      <c r="Y70" s="72">
        <f t="shared" si="253"/>
        <v>38476.620000000003</v>
      </c>
      <c r="Z70" s="72">
        <f t="shared" si="253"/>
        <v>38476.620000000003</v>
      </c>
      <c r="AA70" s="72">
        <f t="shared" si="253"/>
        <v>115037.67076666663</v>
      </c>
      <c r="AB70" s="72">
        <f t="shared" si="253"/>
        <v>39053.769299999993</v>
      </c>
      <c r="AC70" s="72">
        <f t="shared" si="253"/>
        <v>39053.769299999993</v>
      </c>
      <c r="AD70" s="72">
        <f t="shared" si="253"/>
        <v>39053.769299999993</v>
      </c>
      <c r="AE70" s="72">
        <f t="shared" si="253"/>
        <v>39053.769299999993</v>
      </c>
      <c r="AF70" s="72">
        <f t="shared" si="253"/>
        <v>39053.769299999993</v>
      </c>
      <c r="AG70" s="72">
        <f t="shared" si="253"/>
        <v>39053.769299999993</v>
      </c>
      <c r="AH70" s="72">
        <f t="shared" si="253"/>
        <v>39053.769299999993</v>
      </c>
      <c r="AI70" s="72">
        <f t="shared" si="253"/>
        <v>39053.769299999993</v>
      </c>
      <c r="AJ70" s="72">
        <f t="shared" si="253"/>
        <v>39053.769299999993</v>
      </c>
      <c r="AK70" s="72">
        <f t="shared" si="253"/>
        <v>39053.769299999993</v>
      </c>
      <c r="AL70" s="72">
        <f t="shared" si="253"/>
        <v>39053.769299999993</v>
      </c>
      <c r="AM70" s="72">
        <f t="shared" si="253"/>
        <v>116763.23582816664</v>
      </c>
      <c r="AN70" s="72">
        <f t="shared" si="253"/>
        <v>39639.575839499987</v>
      </c>
      <c r="AO70" s="72">
        <f t="shared" si="253"/>
        <v>39639.575839499987</v>
      </c>
      <c r="AP70" s="72">
        <f t="shared" si="253"/>
        <v>39639.575839499987</v>
      </c>
      <c r="AQ70" s="72">
        <f t="shared" si="253"/>
        <v>39639.575839499987</v>
      </c>
      <c r="AR70" s="72">
        <f t="shared" si="253"/>
        <v>39639.575839499987</v>
      </c>
      <c r="AS70" s="72">
        <f t="shared" si="253"/>
        <v>39639.575839499987</v>
      </c>
      <c r="AT70" s="72">
        <f t="shared" si="253"/>
        <v>39639.575839499987</v>
      </c>
      <c r="AU70" s="72">
        <f t="shared" si="253"/>
        <v>39639.575839499987</v>
      </c>
      <c r="AV70" s="72">
        <f t="shared" si="253"/>
        <v>39639.575839499987</v>
      </c>
      <c r="AW70" s="72">
        <f t="shared" si="253"/>
        <v>39639.575839499987</v>
      </c>
      <c r="AX70" s="72">
        <f t="shared" si="253"/>
        <v>39639.575839499987</v>
      </c>
      <c r="AY70" s="72">
        <f t="shared" si="253"/>
        <v>118514.68436558911</v>
      </c>
      <c r="AZ70" s="72">
        <f t="shared" si="253"/>
        <v>40234.169477092481</v>
      </c>
      <c r="BA70" s="72">
        <f t="shared" si="253"/>
        <v>40234.169477092481</v>
      </c>
      <c r="BB70" s="72">
        <f t="shared" si="253"/>
        <v>40234.169477092481</v>
      </c>
      <c r="BC70" s="72">
        <f t="shared" si="253"/>
        <v>40234.169477092481</v>
      </c>
      <c r="BD70" s="72">
        <f t="shared" si="253"/>
        <v>40234.169477092481</v>
      </c>
      <c r="BE70" s="72">
        <f t="shared" si="253"/>
        <v>40234.169477092481</v>
      </c>
      <c r="BF70" s="72">
        <f t="shared" si="253"/>
        <v>40234.169477092481</v>
      </c>
      <c r="BG70" s="72">
        <f t="shared" si="253"/>
        <v>40234.169477092481</v>
      </c>
      <c r="BH70" s="72">
        <f t="shared" si="253"/>
        <v>40234.169477092481</v>
      </c>
      <c r="BI70" s="72">
        <f t="shared" si="253"/>
        <v>40234.169477092481</v>
      </c>
      <c r="BJ70" s="72">
        <f t="shared" si="253"/>
        <v>40234.169477092481</v>
      </c>
      <c r="BK70" s="72">
        <f t="shared" si="253"/>
        <v>120292.40463107295</v>
      </c>
      <c r="BL70" s="72">
        <f t="shared" si="253"/>
        <v>40837.682019248859</v>
      </c>
      <c r="BM70" s="72">
        <f t="shared" si="253"/>
        <v>40837.682019248859</v>
      </c>
      <c r="BN70" s="72">
        <f t="shared" si="253"/>
        <v>40837.682019248859</v>
      </c>
      <c r="BO70" s="72">
        <f t="shared" si="253"/>
        <v>40837.682019248859</v>
      </c>
      <c r="BP70" s="72">
        <f t="shared" ref="BP70:EA70" si="254">MAX(BP71,BP72)</f>
        <v>40837.682019248859</v>
      </c>
      <c r="BQ70" s="72">
        <f t="shared" si="254"/>
        <v>40837.682019248859</v>
      </c>
      <c r="BR70" s="72">
        <f t="shared" si="254"/>
        <v>40837.682019248859</v>
      </c>
      <c r="BS70" s="72">
        <f t="shared" si="254"/>
        <v>40837.682019248859</v>
      </c>
      <c r="BT70" s="72">
        <f t="shared" si="254"/>
        <v>40837.682019248859</v>
      </c>
      <c r="BU70" s="72">
        <f t="shared" si="254"/>
        <v>40837.682019248859</v>
      </c>
      <c r="BV70" s="72">
        <f t="shared" si="254"/>
        <v>40837.682019248859</v>
      </c>
      <c r="BW70" s="72">
        <f t="shared" si="254"/>
        <v>122096.79070053899</v>
      </c>
      <c r="BX70" s="72">
        <f t="shared" si="254"/>
        <v>41450.247249537591</v>
      </c>
      <c r="BY70" s="72">
        <f t="shared" si="254"/>
        <v>41450.247249537591</v>
      </c>
      <c r="BZ70" s="72">
        <f t="shared" si="254"/>
        <v>41450.247249537591</v>
      </c>
      <c r="CA70" s="72">
        <f t="shared" si="254"/>
        <v>41450.247249537591</v>
      </c>
      <c r="CB70" s="72">
        <f t="shared" si="254"/>
        <v>41450.247249537591</v>
      </c>
      <c r="CC70" s="72">
        <f t="shared" si="254"/>
        <v>41450.247249537591</v>
      </c>
      <c r="CD70" s="72">
        <f t="shared" si="254"/>
        <v>41450.247249537591</v>
      </c>
      <c r="CE70" s="72">
        <f t="shared" si="254"/>
        <v>41450.247249537591</v>
      </c>
      <c r="CF70" s="72">
        <f t="shared" si="254"/>
        <v>41450.247249537591</v>
      </c>
      <c r="CG70" s="72">
        <f t="shared" si="254"/>
        <v>41450.247249537591</v>
      </c>
      <c r="CH70" s="72">
        <f t="shared" si="254"/>
        <v>41450.247249537591</v>
      </c>
      <c r="CI70" s="72">
        <f t="shared" si="254"/>
        <v>123928.24256104707</v>
      </c>
      <c r="CJ70" s="72">
        <f t="shared" si="254"/>
        <v>42072.000958280645</v>
      </c>
      <c r="CK70" s="72">
        <f t="shared" si="254"/>
        <v>42072.000958280645</v>
      </c>
      <c r="CL70" s="72">
        <f t="shared" si="254"/>
        <v>42072.000958280645</v>
      </c>
      <c r="CM70" s="72">
        <f t="shared" si="254"/>
        <v>42072.000958280645</v>
      </c>
      <c r="CN70" s="72">
        <f t="shared" si="254"/>
        <v>42072.000958280645</v>
      </c>
      <c r="CO70" s="72">
        <f t="shared" si="254"/>
        <v>42072.000958280645</v>
      </c>
      <c r="CP70" s="72">
        <f t="shared" si="254"/>
        <v>42072.000958280645</v>
      </c>
      <c r="CQ70" s="72">
        <f t="shared" si="254"/>
        <v>42072.000958280645</v>
      </c>
      <c r="CR70" s="72">
        <f t="shared" si="254"/>
        <v>42072.000958280645</v>
      </c>
      <c r="CS70" s="72">
        <f t="shared" si="254"/>
        <v>42072.000958280645</v>
      </c>
      <c r="CT70" s="72">
        <f t="shared" si="254"/>
        <v>42072.000958280645</v>
      </c>
      <c r="CU70" s="72">
        <f t="shared" si="254"/>
        <v>125787.16619946276</v>
      </c>
      <c r="CV70" s="72">
        <f t="shared" si="254"/>
        <v>42703.080972654854</v>
      </c>
      <c r="CW70" s="72">
        <f t="shared" si="254"/>
        <v>42703.080972654854</v>
      </c>
      <c r="CX70" s="72">
        <f t="shared" si="254"/>
        <v>42703.080972654854</v>
      </c>
      <c r="CY70" s="72">
        <f t="shared" si="254"/>
        <v>42703.080972654854</v>
      </c>
      <c r="CZ70" s="72">
        <f t="shared" si="254"/>
        <v>42703.080972654854</v>
      </c>
      <c r="DA70" s="72">
        <f t="shared" si="254"/>
        <v>42703.080972654854</v>
      </c>
      <c r="DB70" s="72">
        <f t="shared" si="254"/>
        <v>42703.080972654854</v>
      </c>
      <c r="DC70" s="72">
        <f t="shared" si="254"/>
        <v>42703.080972654854</v>
      </c>
      <c r="DD70" s="72">
        <f t="shared" si="254"/>
        <v>42703.080972654854</v>
      </c>
      <c r="DE70" s="72">
        <f t="shared" si="254"/>
        <v>42703.080972654854</v>
      </c>
      <c r="DF70" s="72">
        <f t="shared" si="254"/>
        <v>42703.080972654854</v>
      </c>
      <c r="DG70" s="72">
        <f t="shared" si="254"/>
        <v>127673.97369245469</v>
      </c>
      <c r="DH70" s="72">
        <f t="shared" si="254"/>
        <v>43343.627187244667</v>
      </c>
      <c r="DI70" s="72">
        <f t="shared" si="254"/>
        <v>43343.627187244667</v>
      </c>
      <c r="DJ70" s="72">
        <f t="shared" si="254"/>
        <v>43343.627187244667</v>
      </c>
      <c r="DK70" s="72">
        <f t="shared" si="254"/>
        <v>43343.627187244667</v>
      </c>
      <c r="DL70" s="72">
        <f t="shared" si="254"/>
        <v>43343.627187244667</v>
      </c>
      <c r="DM70" s="72">
        <f t="shared" si="254"/>
        <v>43343.627187244667</v>
      </c>
      <c r="DN70" s="72">
        <f t="shared" si="254"/>
        <v>43343.627187244667</v>
      </c>
      <c r="DO70" s="72">
        <f t="shared" si="254"/>
        <v>43343.627187244667</v>
      </c>
      <c r="DP70" s="72">
        <f t="shared" si="254"/>
        <v>43343.627187244667</v>
      </c>
      <c r="DQ70" s="72">
        <f t="shared" si="254"/>
        <v>43343.627187244667</v>
      </c>
      <c r="DR70" s="72">
        <f t="shared" si="254"/>
        <v>43343.627187244667</v>
      </c>
      <c r="DS70" s="72">
        <f t="shared" si="254"/>
        <v>129589.0832978415</v>
      </c>
      <c r="DT70" s="72">
        <f t="shared" si="254"/>
        <v>43993.78159505334</v>
      </c>
      <c r="DU70" s="72">
        <f t="shared" si="254"/>
        <v>43993.78159505334</v>
      </c>
      <c r="DV70" s="72">
        <f t="shared" si="254"/>
        <v>43993.78159505334</v>
      </c>
      <c r="DW70" s="72">
        <f t="shared" si="254"/>
        <v>43993.78159505334</v>
      </c>
      <c r="DX70" s="72">
        <f t="shared" si="254"/>
        <v>43993.78159505334</v>
      </c>
      <c r="DY70" s="72">
        <f t="shared" si="254"/>
        <v>43993.78159505334</v>
      </c>
      <c r="DZ70" s="72">
        <f t="shared" si="254"/>
        <v>43993.78159505334</v>
      </c>
      <c r="EA70" s="72">
        <f t="shared" si="254"/>
        <v>43993.78159505334</v>
      </c>
      <c r="EB70" s="72">
        <f t="shared" ref="EB70:FZ70" si="255">MAX(EB71,EB72)</f>
        <v>43993.78159505334</v>
      </c>
      <c r="EC70" s="72">
        <f t="shared" si="255"/>
        <v>43993.78159505334</v>
      </c>
      <c r="ED70" s="72">
        <f t="shared" si="255"/>
        <v>43993.78159505334</v>
      </c>
      <c r="EE70" s="72">
        <f t="shared" si="255"/>
        <v>131532.91954730908</v>
      </c>
      <c r="EF70" s="72">
        <f t="shared" si="255"/>
        <v>44653.688318979133</v>
      </c>
      <c r="EG70" s="72">
        <f t="shared" si="255"/>
        <v>44653.688318979133</v>
      </c>
      <c r="EH70" s="72">
        <f t="shared" si="255"/>
        <v>44653.688318979133</v>
      </c>
      <c r="EI70" s="72">
        <f t="shared" si="255"/>
        <v>44653.688318979133</v>
      </c>
      <c r="EJ70" s="72">
        <f t="shared" si="255"/>
        <v>44653.688318979133</v>
      </c>
      <c r="EK70" s="72">
        <f t="shared" si="255"/>
        <v>44653.688318979133</v>
      </c>
      <c r="EL70" s="72">
        <f t="shared" si="255"/>
        <v>44653.688318979133</v>
      </c>
      <c r="EM70" s="72">
        <f t="shared" si="255"/>
        <v>44653.688318979133</v>
      </c>
      <c r="EN70" s="72">
        <f t="shared" si="255"/>
        <v>44653.688318979133</v>
      </c>
      <c r="EO70" s="72">
        <f t="shared" si="255"/>
        <v>44653.688318979133</v>
      </c>
      <c r="EP70" s="72">
        <f t="shared" si="255"/>
        <v>44653.688318979133</v>
      </c>
      <c r="EQ70" s="72">
        <f t="shared" si="255"/>
        <v>133505.91334051869</v>
      </c>
      <c r="ER70" s="72">
        <f t="shared" si="255"/>
        <v>45323.49364376381</v>
      </c>
      <c r="ES70" s="72">
        <f t="shared" si="255"/>
        <v>45323.49364376381</v>
      </c>
      <c r="ET70" s="72">
        <f t="shared" si="255"/>
        <v>45323.49364376381</v>
      </c>
      <c r="EU70" s="72">
        <f t="shared" si="255"/>
        <v>45323.49364376381</v>
      </c>
      <c r="EV70" s="72">
        <f t="shared" si="255"/>
        <v>45323.49364376381</v>
      </c>
      <c r="EW70" s="72">
        <f t="shared" si="255"/>
        <v>45323.49364376381</v>
      </c>
      <c r="EX70" s="72">
        <f t="shared" si="255"/>
        <v>45323.49364376381</v>
      </c>
      <c r="EY70" s="72">
        <f t="shared" si="255"/>
        <v>45323.49364376381</v>
      </c>
      <c r="EZ70" s="72">
        <f t="shared" si="255"/>
        <v>45323.49364376381</v>
      </c>
      <c r="FA70" s="72">
        <f t="shared" si="255"/>
        <v>45323.49364376381</v>
      </c>
      <c r="FB70" s="72">
        <f t="shared" si="255"/>
        <v>45323.49364376381</v>
      </c>
      <c r="FC70" s="72">
        <f t="shared" si="255"/>
        <v>135508.50204062648</v>
      </c>
      <c r="FD70" s="72">
        <f t="shared" si="255"/>
        <v>46003.346048420259</v>
      </c>
      <c r="FE70" s="72">
        <f t="shared" si="255"/>
        <v>46003.346048420259</v>
      </c>
      <c r="FF70" s="72">
        <f t="shared" si="255"/>
        <v>46003.346048420259</v>
      </c>
      <c r="FG70" s="72">
        <f t="shared" si="255"/>
        <v>46003.346048420259</v>
      </c>
      <c r="FH70" s="72">
        <f t="shared" si="255"/>
        <v>46003.346048420259</v>
      </c>
      <c r="FI70" s="72">
        <f t="shared" si="255"/>
        <v>46003.346048420259</v>
      </c>
      <c r="FJ70" s="72">
        <f t="shared" si="255"/>
        <v>46003.346048420259</v>
      </c>
      <c r="FK70" s="72">
        <f t="shared" si="255"/>
        <v>46003.346048420259</v>
      </c>
      <c r="FL70" s="72">
        <f t="shared" si="255"/>
        <v>46003.346048420259</v>
      </c>
      <c r="FM70" s="72">
        <f t="shared" si="255"/>
        <v>46003.346048420259</v>
      </c>
      <c r="FN70" s="72">
        <f t="shared" si="255"/>
        <v>46003.346048420259</v>
      </c>
      <c r="FO70" s="72">
        <f t="shared" si="255"/>
        <v>137541.12957123586</v>
      </c>
      <c r="FP70" s="72">
        <f t="shared" si="255"/>
        <v>46693.396239146547</v>
      </c>
      <c r="FQ70" s="72">
        <f t="shared" si="255"/>
        <v>46693.396239146547</v>
      </c>
      <c r="FR70" s="72">
        <f t="shared" si="255"/>
        <v>46693.396239146547</v>
      </c>
      <c r="FS70" s="72">
        <f t="shared" si="255"/>
        <v>46693.396239146547</v>
      </c>
      <c r="FT70" s="72">
        <f t="shared" si="255"/>
        <v>46693.396239146547</v>
      </c>
      <c r="FU70" s="72">
        <f t="shared" si="255"/>
        <v>46693.396239146547</v>
      </c>
      <c r="FV70" s="72">
        <f t="shared" si="255"/>
        <v>46693.396239146547</v>
      </c>
      <c r="FW70" s="72">
        <f t="shared" si="255"/>
        <v>46693.396239146547</v>
      </c>
      <c r="FX70" s="72">
        <f t="shared" si="255"/>
        <v>46693.396239146547</v>
      </c>
      <c r="FY70" s="72">
        <f t="shared" si="255"/>
        <v>46693.396239146547</v>
      </c>
      <c r="FZ70" s="90">
        <f t="shared" si="255"/>
        <v>46693.396239146547</v>
      </c>
    </row>
    <row r="71" spans="2:182" x14ac:dyDescent="0.2">
      <c r="B71" s="80" t="s">
        <v>16</v>
      </c>
      <c r="C71" s="73">
        <f>'Property Summary'!$F$15*C22</f>
        <v>36290.800000000003</v>
      </c>
      <c r="D71" s="73">
        <f>'Property Summary'!$F$15*D22</f>
        <v>36290.800000000003</v>
      </c>
      <c r="E71" s="73">
        <f>'Property Summary'!$F$15*E22</f>
        <v>36290.800000000003</v>
      </c>
      <c r="F71" s="73">
        <f>'Property Summary'!$F$15*F22</f>
        <v>36290.800000000003</v>
      </c>
      <c r="G71" s="73">
        <f>'Property Summary'!$F$15*G22</f>
        <v>36290.800000000003</v>
      </c>
      <c r="H71" s="73">
        <f>'Property Summary'!$F$15*H22</f>
        <v>36290.800000000003</v>
      </c>
      <c r="I71" s="73">
        <f>'Property Summary'!$F$15*I22</f>
        <v>36290.800000000003</v>
      </c>
      <c r="J71" s="73">
        <f>'Property Summary'!$F$15*J22</f>
        <v>36290.800000000003</v>
      </c>
      <c r="K71" s="73">
        <f>'Property Summary'!$F$15*K22</f>
        <v>36290.800000000003</v>
      </c>
      <c r="L71" s="73">
        <f>'Property Summary'!$F$15*L22</f>
        <v>36290.800000000003</v>
      </c>
      <c r="M71" s="73">
        <f>'Property Summary'!$F$15*M22</f>
        <v>36290.800000000003</v>
      </c>
      <c r="N71" s="73">
        <f>'Property Summary'!$F$15*N22</f>
        <v>36290.800000000003</v>
      </c>
      <c r="O71" s="73">
        <f>'Property Summary'!$F$15*O22</f>
        <v>37270.596999999994</v>
      </c>
      <c r="P71" s="73">
        <f>'Property Summary'!$F$15*P22</f>
        <v>37376.156999999999</v>
      </c>
      <c r="Q71" s="73">
        <f>'Property Summary'!$F$15*Q22</f>
        <v>37376.156999999999</v>
      </c>
      <c r="R71" s="73">
        <f>'Property Summary'!$F$15*R22</f>
        <v>37882.845000000001</v>
      </c>
      <c r="S71" s="73">
        <f>'Property Summary'!$F$15*S22</f>
        <v>37882.845000000001</v>
      </c>
      <c r="T71" s="73">
        <f>'Property Summary'!$F$15*T22</f>
        <v>37882.845000000001</v>
      </c>
      <c r="U71" s="73">
        <f>'Property Summary'!$F$15*U22</f>
        <v>38278.695</v>
      </c>
      <c r="V71" s="73">
        <f>'Property Summary'!$F$15*V22</f>
        <v>38476.620000000003</v>
      </c>
      <c r="W71" s="73">
        <f>'Property Summary'!$F$15*W22</f>
        <v>38476.620000000003</v>
      </c>
      <c r="X71" s="73">
        <f>'Property Summary'!$F$15*X22</f>
        <v>38476.620000000003</v>
      </c>
      <c r="Y71" s="73">
        <f>'Property Summary'!$F$15*Y22</f>
        <v>38476.620000000003</v>
      </c>
      <c r="Z71" s="73">
        <f>'Property Summary'!$F$15*Z22</f>
        <v>38476.620000000003</v>
      </c>
      <c r="AA71" s="73">
        <f>'Property Summary'!$F$15*AA22</f>
        <v>39053.769299999993</v>
      </c>
      <c r="AB71" s="73">
        <f>'Property Summary'!$F$15*AB22</f>
        <v>39053.769299999993</v>
      </c>
      <c r="AC71" s="73">
        <f>'Property Summary'!$F$15*AC22</f>
        <v>39053.769299999993</v>
      </c>
      <c r="AD71" s="73">
        <f>'Property Summary'!$F$15*AD22</f>
        <v>39053.769299999993</v>
      </c>
      <c r="AE71" s="73">
        <f>'Property Summary'!$F$15*AE22</f>
        <v>39053.769299999993</v>
      </c>
      <c r="AF71" s="73">
        <f>'Property Summary'!$F$15*AF22</f>
        <v>39053.769299999993</v>
      </c>
      <c r="AG71" s="73">
        <f>'Property Summary'!$F$15*AG22</f>
        <v>39053.769299999993</v>
      </c>
      <c r="AH71" s="73">
        <f>'Property Summary'!$F$15*AH22</f>
        <v>39053.769299999993</v>
      </c>
      <c r="AI71" s="73">
        <f>'Property Summary'!$F$15*AI22</f>
        <v>39053.769299999993</v>
      </c>
      <c r="AJ71" s="73">
        <f>'Property Summary'!$F$15*AJ22</f>
        <v>39053.769299999993</v>
      </c>
      <c r="AK71" s="73">
        <f>'Property Summary'!$F$15*AK22</f>
        <v>39053.769299999993</v>
      </c>
      <c r="AL71" s="73">
        <f>'Property Summary'!$F$15*AL22</f>
        <v>39053.769299999993</v>
      </c>
      <c r="AM71" s="73">
        <f>'Property Summary'!$F$15*AM22</f>
        <v>39639.575839499987</v>
      </c>
      <c r="AN71" s="73">
        <f>'Property Summary'!$F$15*AN22</f>
        <v>39639.575839499987</v>
      </c>
      <c r="AO71" s="73">
        <f>'Property Summary'!$F$15*AO22</f>
        <v>39639.575839499987</v>
      </c>
      <c r="AP71" s="73">
        <f>'Property Summary'!$F$15*AP22</f>
        <v>39639.575839499987</v>
      </c>
      <c r="AQ71" s="73">
        <f>'Property Summary'!$F$15*AQ22</f>
        <v>39639.575839499987</v>
      </c>
      <c r="AR71" s="73">
        <f>'Property Summary'!$F$15*AR22</f>
        <v>39639.575839499987</v>
      </c>
      <c r="AS71" s="73">
        <f>'Property Summary'!$F$15*AS22</f>
        <v>39639.575839499987</v>
      </c>
      <c r="AT71" s="73">
        <f>'Property Summary'!$F$15*AT22</f>
        <v>39639.575839499987</v>
      </c>
      <c r="AU71" s="73">
        <f>'Property Summary'!$F$15*AU22</f>
        <v>39639.575839499987</v>
      </c>
      <c r="AV71" s="73">
        <f>'Property Summary'!$F$15*AV22</f>
        <v>39639.575839499987</v>
      </c>
      <c r="AW71" s="73">
        <f>'Property Summary'!$F$15*AW22</f>
        <v>39639.575839499987</v>
      </c>
      <c r="AX71" s="73">
        <f>'Property Summary'!$F$15*AX22</f>
        <v>39639.575839499987</v>
      </c>
      <c r="AY71" s="73">
        <f>'Property Summary'!$F$15*AY22</f>
        <v>40234.169477092481</v>
      </c>
      <c r="AZ71" s="73">
        <f>'Property Summary'!$F$15*AZ22</f>
        <v>40234.169477092481</v>
      </c>
      <c r="BA71" s="73">
        <f>'Property Summary'!$F$15*BA22</f>
        <v>40234.169477092481</v>
      </c>
      <c r="BB71" s="73">
        <f>'Property Summary'!$F$15*BB22</f>
        <v>40234.169477092481</v>
      </c>
      <c r="BC71" s="73">
        <f>'Property Summary'!$F$15*BC22</f>
        <v>40234.169477092481</v>
      </c>
      <c r="BD71" s="73">
        <f>'Property Summary'!$F$15*BD22</f>
        <v>40234.169477092481</v>
      </c>
      <c r="BE71" s="73">
        <f>'Property Summary'!$F$15*BE22</f>
        <v>40234.169477092481</v>
      </c>
      <c r="BF71" s="73">
        <f>'Property Summary'!$F$15*BF22</f>
        <v>40234.169477092481</v>
      </c>
      <c r="BG71" s="73">
        <f>'Property Summary'!$F$15*BG22</f>
        <v>40234.169477092481</v>
      </c>
      <c r="BH71" s="73">
        <f>'Property Summary'!$F$15*BH22</f>
        <v>40234.169477092481</v>
      </c>
      <c r="BI71" s="73">
        <f>'Property Summary'!$F$15*BI22</f>
        <v>40234.169477092481</v>
      </c>
      <c r="BJ71" s="73">
        <f>'Property Summary'!$F$15*BJ22</f>
        <v>40234.169477092481</v>
      </c>
      <c r="BK71" s="73">
        <f>'Property Summary'!$F$15*BK22</f>
        <v>40837.682019248859</v>
      </c>
      <c r="BL71" s="73">
        <f>'Property Summary'!$F$15*BL22</f>
        <v>40837.682019248859</v>
      </c>
      <c r="BM71" s="73">
        <f>'Property Summary'!$F$15*BM22</f>
        <v>40837.682019248859</v>
      </c>
      <c r="BN71" s="73">
        <f>'Property Summary'!$F$15*BN22</f>
        <v>40837.682019248859</v>
      </c>
      <c r="BO71" s="73">
        <f>'Property Summary'!$F$15*BO22</f>
        <v>40837.682019248859</v>
      </c>
      <c r="BP71" s="73">
        <f>'Property Summary'!$F$15*BP22</f>
        <v>40837.682019248859</v>
      </c>
      <c r="BQ71" s="73">
        <f>'Property Summary'!$F$15*BQ22</f>
        <v>40837.682019248859</v>
      </c>
      <c r="BR71" s="73">
        <f>'Property Summary'!$F$15*BR22</f>
        <v>40837.682019248859</v>
      </c>
      <c r="BS71" s="73">
        <f>'Property Summary'!$F$15*BS22</f>
        <v>40837.682019248859</v>
      </c>
      <c r="BT71" s="73">
        <f>'Property Summary'!$F$15*BT22</f>
        <v>40837.682019248859</v>
      </c>
      <c r="BU71" s="73">
        <f>'Property Summary'!$F$15*BU22</f>
        <v>40837.682019248859</v>
      </c>
      <c r="BV71" s="73">
        <f>'Property Summary'!$F$15*BV22</f>
        <v>40837.682019248859</v>
      </c>
      <c r="BW71" s="73">
        <f>'Property Summary'!$F$15*BW22</f>
        <v>41450.247249537591</v>
      </c>
      <c r="BX71" s="73">
        <f>'Property Summary'!$F$15*BX22</f>
        <v>41450.247249537591</v>
      </c>
      <c r="BY71" s="73">
        <f>'Property Summary'!$F$15*BY22</f>
        <v>41450.247249537591</v>
      </c>
      <c r="BZ71" s="73">
        <f>'Property Summary'!$F$15*BZ22</f>
        <v>41450.247249537591</v>
      </c>
      <c r="CA71" s="73">
        <f>'Property Summary'!$F$15*CA22</f>
        <v>41450.247249537591</v>
      </c>
      <c r="CB71" s="73">
        <f>'Property Summary'!$F$15*CB22</f>
        <v>41450.247249537591</v>
      </c>
      <c r="CC71" s="73">
        <f>'Property Summary'!$F$15*CC22</f>
        <v>41450.247249537591</v>
      </c>
      <c r="CD71" s="73">
        <f>'Property Summary'!$F$15*CD22</f>
        <v>41450.247249537591</v>
      </c>
      <c r="CE71" s="73">
        <f>'Property Summary'!$F$15*CE22</f>
        <v>41450.247249537591</v>
      </c>
      <c r="CF71" s="73">
        <f>'Property Summary'!$F$15*CF22</f>
        <v>41450.247249537591</v>
      </c>
      <c r="CG71" s="73">
        <f>'Property Summary'!$F$15*CG22</f>
        <v>41450.247249537591</v>
      </c>
      <c r="CH71" s="73">
        <f>'Property Summary'!$F$15*CH22</f>
        <v>41450.247249537591</v>
      </c>
      <c r="CI71" s="73">
        <f>'Property Summary'!$F$15*CI22</f>
        <v>42072.000958280645</v>
      </c>
      <c r="CJ71" s="73">
        <f>'Property Summary'!$F$15*CJ22</f>
        <v>42072.000958280645</v>
      </c>
      <c r="CK71" s="73">
        <f>'Property Summary'!$F$15*CK22</f>
        <v>42072.000958280645</v>
      </c>
      <c r="CL71" s="73">
        <f>'Property Summary'!$F$15*CL22</f>
        <v>42072.000958280645</v>
      </c>
      <c r="CM71" s="73">
        <f>'Property Summary'!$F$15*CM22</f>
        <v>42072.000958280645</v>
      </c>
      <c r="CN71" s="73">
        <f>'Property Summary'!$F$15*CN22</f>
        <v>42072.000958280645</v>
      </c>
      <c r="CO71" s="73">
        <f>'Property Summary'!$F$15*CO22</f>
        <v>42072.000958280645</v>
      </c>
      <c r="CP71" s="73">
        <f>'Property Summary'!$F$15*CP22</f>
        <v>42072.000958280645</v>
      </c>
      <c r="CQ71" s="73">
        <f>'Property Summary'!$F$15*CQ22</f>
        <v>42072.000958280645</v>
      </c>
      <c r="CR71" s="73">
        <f>'Property Summary'!$F$15*CR22</f>
        <v>42072.000958280645</v>
      </c>
      <c r="CS71" s="73">
        <f>'Property Summary'!$F$15*CS22</f>
        <v>42072.000958280645</v>
      </c>
      <c r="CT71" s="73">
        <f>'Property Summary'!$F$15*CT22</f>
        <v>42072.000958280645</v>
      </c>
      <c r="CU71" s="73">
        <f>'Property Summary'!$F$15*CU22</f>
        <v>42703.080972654854</v>
      </c>
      <c r="CV71" s="73">
        <f>'Property Summary'!$F$15*CV22</f>
        <v>42703.080972654854</v>
      </c>
      <c r="CW71" s="73">
        <f>'Property Summary'!$F$15*CW22</f>
        <v>42703.080972654854</v>
      </c>
      <c r="CX71" s="73">
        <f>'Property Summary'!$F$15*CX22</f>
        <v>42703.080972654854</v>
      </c>
      <c r="CY71" s="73">
        <f>'Property Summary'!$F$15*CY22</f>
        <v>42703.080972654854</v>
      </c>
      <c r="CZ71" s="73">
        <f>'Property Summary'!$F$15*CZ22</f>
        <v>42703.080972654854</v>
      </c>
      <c r="DA71" s="73">
        <f>'Property Summary'!$F$15*DA22</f>
        <v>42703.080972654854</v>
      </c>
      <c r="DB71" s="73">
        <f>'Property Summary'!$F$15*DB22</f>
        <v>42703.080972654854</v>
      </c>
      <c r="DC71" s="73">
        <f>'Property Summary'!$F$15*DC22</f>
        <v>42703.080972654854</v>
      </c>
      <c r="DD71" s="73">
        <f>'Property Summary'!$F$15*DD22</f>
        <v>42703.080972654854</v>
      </c>
      <c r="DE71" s="73">
        <f>'Property Summary'!$F$15*DE22</f>
        <v>42703.080972654854</v>
      </c>
      <c r="DF71" s="73">
        <f>'Property Summary'!$F$15*DF22</f>
        <v>42703.080972654854</v>
      </c>
      <c r="DG71" s="73">
        <f>'Property Summary'!$F$15*DG22</f>
        <v>43343.627187244667</v>
      </c>
      <c r="DH71" s="73">
        <f>'Property Summary'!$F$15*DH22</f>
        <v>43343.627187244667</v>
      </c>
      <c r="DI71" s="73">
        <f>'Property Summary'!$F$15*DI22</f>
        <v>43343.627187244667</v>
      </c>
      <c r="DJ71" s="73">
        <f>'Property Summary'!$F$15*DJ22</f>
        <v>43343.627187244667</v>
      </c>
      <c r="DK71" s="73">
        <f>'Property Summary'!$F$15*DK22</f>
        <v>43343.627187244667</v>
      </c>
      <c r="DL71" s="73">
        <f>'Property Summary'!$F$15*DL22</f>
        <v>43343.627187244667</v>
      </c>
      <c r="DM71" s="73">
        <f>'Property Summary'!$F$15*DM22</f>
        <v>43343.627187244667</v>
      </c>
      <c r="DN71" s="73">
        <f>'Property Summary'!$F$15*DN22</f>
        <v>43343.627187244667</v>
      </c>
      <c r="DO71" s="73">
        <f>'Property Summary'!$F$15*DO22</f>
        <v>43343.627187244667</v>
      </c>
      <c r="DP71" s="73">
        <f>'Property Summary'!$F$15*DP22</f>
        <v>43343.627187244667</v>
      </c>
      <c r="DQ71" s="73">
        <f>'Property Summary'!$F$15*DQ22</f>
        <v>43343.627187244667</v>
      </c>
      <c r="DR71" s="73">
        <f>'Property Summary'!$F$15*DR22</f>
        <v>43343.627187244667</v>
      </c>
      <c r="DS71" s="73">
        <f>'Property Summary'!$F$15*DS22</f>
        <v>43993.78159505334</v>
      </c>
      <c r="DT71" s="73">
        <f>'Property Summary'!$F$15*DT22</f>
        <v>43993.78159505334</v>
      </c>
      <c r="DU71" s="73">
        <f>'Property Summary'!$F$15*DU22</f>
        <v>43993.78159505334</v>
      </c>
      <c r="DV71" s="73">
        <f>'Property Summary'!$F$15*DV22</f>
        <v>43993.78159505334</v>
      </c>
      <c r="DW71" s="73">
        <f>'Property Summary'!$F$15*DW22</f>
        <v>43993.78159505334</v>
      </c>
      <c r="DX71" s="73">
        <f>'Property Summary'!$F$15*DX22</f>
        <v>43993.78159505334</v>
      </c>
      <c r="DY71" s="73">
        <f>'Property Summary'!$F$15*DY22</f>
        <v>43993.78159505334</v>
      </c>
      <c r="DZ71" s="73">
        <f>'Property Summary'!$F$15*DZ22</f>
        <v>43993.78159505334</v>
      </c>
      <c r="EA71" s="73">
        <f>'Property Summary'!$F$15*EA22</f>
        <v>43993.78159505334</v>
      </c>
      <c r="EB71" s="73">
        <f>'Property Summary'!$F$15*EB22</f>
        <v>43993.78159505334</v>
      </c>
      <c r="EC71" s="73">
        <f>'Property Summary'!$F$15*EC22</f>
        <v>43993.78159505334</v>
      </c>
      <c r="ED71" s="73">
        <f>'Property Summary'!$F$15*ED22</f>
        <v>43993.78159505334</v>
      </c>
      <c r="EE71" s="73">
        <f>'Property Summary'!$F$15*EE22</f>
        <v>44653.688318979133</v>
      </c>
      <c r="EF71" s="73">
        <f>'Property Summary'!$F$15*EF22</f>
        <v>44653.688318979133</v>
      </c>
      <c r="EG71" s="73">
        <f>'Property Summary'!$F$15*EG22</f>
        <v>44653.688318979133</v>
      </c>
      <c r="EH71" s="73">
        <f>'Property Summary'!$F$15*EH22</f>
        <v>44653.688318979133</v>
      </c>
      <c r="EI71" s="73">
        <f>'Property Summary'!$F$15*EI22</f>
        <v>44653.688318979133</v>
      </c>
      <c r="EJ71" s="73">
        <f>'Property Summary'!$F$15*EJ22</f>
        <v>44653.688318979133</v>
      </c>
      <c r="EK71" s="73">
        <f>'Property Summary'!$F$15*EK22</f>
        <v>44653.688318979133</v>
      </c>
      <c r="EL71" s="73">
        <f>'Property Summary'!$F$15*EL22</f>
        <v>44653.688318979133</v>
      </c>
      <c r="EM71" s="73">
        <f>'Property Summary'!$F$15*EM22</f>
        <v>44653.688318979133</v>
      </c>
      <c r="EN71" s="73">
        <f>'Property Summary'!$F$15*EN22</f>
        <v>44653.688318979133</v>
      </c>
      <c r="EO71" s="73">
        <f>'Property Summary'!$F$15*EO22</f>
        <v>44653.688318979133</v>
      </c>
      <c r="EP71" s="73">
        <f>'Property Summary'!$F$15*EP22</f>
        <v>44653.688318979133</v>
      </c>
      <c r="EQ71" s="73">
        <f>'Property Summary'!$F$15*EQ22</f>
        <v>45323.49364376381</v>
      </c>
      <c r="ER71" s="73">
        <f>'Property Summary'!$F$15*ER22</f>
        <v>45323.49364376381</v>
      </c>
      <c r="ES71" s="73">
        <f>'Property Summary'!$F$15*ES22</f>
        <v>45323.49364376381</v>
      </c>
      <c r="ET71" s="73">
        <f>'Property Summary'!$F$15*ET22</f>
        <v>45323.49364376381</v>
      </c>
      <c r="EU71" s="73">
        <f>'Property Summary'!$F$15*EU22</f>
        <v>45323.49364376381</v>
      </c>
      <c r="EV71" s="73">
        <f>'Property Summary'!$F$15*EV22</f>
        <v>45323.49364376381</v>
      </c>
      <c r="EW71" s="73">
        <f>'Property Summary'!$F$15*EW22</f>
        <v>45323.49364376381</v>
      </c>
      <c r="EX71" s="73">
        <f>'Property Summary'!$F$15*EX22</f>
        <v>45323.49364376381</v>
      </c>
      <c r="EY71" s="73">
        <f>'Property Summary'!$F$15*EY22</f>
        <v>45323.49364376381</v>
      </c>
      <c r="EZ71" s="73">
        <f>'Property Summary'!$F$15*EZ22</f>
        <v>45323.49364376381</v>
      </c>
      <c r="FA71" s="73">
        <f>'Property Summary'!$F$15*FA22</f>
        <v>45323.49364376381</v>
      </c>
      <c r="FB71" s="73">
        <f>'Property Summary'!$F$15*FB22</f>
        <v>45323.49364376381</v>
      </c>
      <c r="FC71" s="73">
        <f>'Property Summary'!$F$15*FC22</f>
        <v>46003.346048420259</v>
      </c>
      <c r="FD71" s="73">
        <f>'Property Summary'!$F$15*FD22</f>
        <v>46003.346048420259</v>
      </c>
      <c r="FE71" s="73">
        <f>'Property Summary'!$F$15*FE22</f>
        <v>46003.346048420259</v>
      </c>
      <c r="FF71" s="73">
        <f>'Property Summary'!$F$15*FF22</f>
        <v>46003.346048420259</v>
      </c>
      <c r="FG71" s="73">
        <f>'Property Summary'!$F$15*FG22</f>
        <v>46003.346048420259</v>
      </c>
      <c r="FH71" s="73">
        <f>'Property Summary'!$F$15*FH22</f>
        <v>46003.346048420259</v>
      </c>
      <c r="FI71" s="73">
        <f>'Property Summary'!$F$15*FI22</f>
        <v>46003.346048420259</v>
      </c>
      <c r="FJ71" s="73">
        <f>'Property Summary'!$F$15*FJ22</f>
        <v>46003.346048420259</v>
      </c>
      <c r="FK71" s="73">
        <f>'Property Summary'!$F$15*FK22</f>
        <v>46003.346048420259</v>
      </c>
      <c r="FL71" s="73">
        <f>'Property Summary'!$F$15*FL22</f>
        <v>46003.346048420259</v>
      </c>
      <c r="FM71" s="73">
        <f>'Property Summary'!$F$15*FM22</f>
        <v>46003.346048420259</v>
      </c>
      <c r="FN71" s="73">
        <f>'Property Summary'!$F$15*FN22</f>
        <v>46003.346048420259</v>
      </c>
      <c r="FO71" s="73">
        <f>'Property Summary'!$F$15*FO22</f>
        <v>46693.396239146547</v>
      </c>
      <c r="FP71" s="73">
        <f>'Property Summary'!$F$15*FP22</f>
        <v>46693.396239146547</v>
      </c>
      <c r="FQ71" s="73">
        <f>'Property Summary'!$F$15*FQ22</f>
        <v>46693.396239146547</v>
      </c>
      <c r="FR71" s="73">
        <f>'Property Summary'!$F$15*FR22</f>
        <v>46693.396239146547</v>
      </c>
      <c r="FS71" s="73">
        <f>'Property Summary'!$F$15*FS22</f>
        <v>46693.396239146547</v>
      </c>
      <c r="FT71" s="73">
        <f>'Property Summary'!$F$15*FT22</f>
        <v>46693.396239146547</v>
      </c>
      <c r="FU71" s="73">
        <f>'Property Summary'!$F$15*FU22</f>
        <v>46693.396239146547</v>
      </c>
      <c r="FV71" s="73">
        <f>'Property Summary'!$F$15*FV22</f>
        <v>46693.396239146547</v>
      </c>
      <c r="FW71" s="73">
        <f>'Property Summary'!$F$15*FW22</f>
        <v>46693.396239146547</v>
      </c>
      <c r="FX71" s="73">
        <f>'Property Summary'!$F$15*FX22</f>
        <v>46693.396239146547</v>
      </c>
      <c r="FY71" s="73">
        <f>'Property Summary'!$F$15*FY22</f>
        <v>46693.396239146547</v>
      </c>
      <c r="FZ71" s="86">
        <f>'Property Summary'!$F$15*FZ22</f>
        <v>46693.396239146547</v>
      </c>
    </row>
    <row r="72" spans="2:182" x14ac:dyDescent="0.2">
      <c r="B72" s="91" t="s">
        <v>137</v>
      </c>
      <c r="C72" s="92">
        <f>SUM(C64:C69)</f>
        <v>0</v>
      </c>
      <c r="D72" s="92">
        <f t="shared" ref="D72:BO72" si="256">SUM(D64:D69)</f>
        <v>0</v>
      </c>
      <c r="E72" s="92">
        <f t="shared" si="256"/>
        <v>0</v>
      </c>
      <c r="F72" s="92">
        <f t="shared" si="256"/>
        <v>0</v>
      </c>
      <c r="G72" s="92">
        <f t="shared" si="256"/>
        <v>0</v>
      </c>
      <c r="H72" s="92">
        <f t="shared" si="256"/>
        <v>0</v>
      </c>
      <c r="I72" s="92">
        <f t="shared" si="256"/>
        <v>0</v>
      </c>
      <c r="J72" s="92">
        <f t="shared" si="256"/>
        <v>0</v>
      </c>
      <c r="K72" s="92">
        <f t="shared" si="256"/>
        <v>0</v>
      </c>
      <c r="L72" s="92">
        <f t="shared" si="256"/>
        <v>0</v>
      </c>
      <c r="M72" s="92">
        <f t="shared" si="256"/>
        <v>0</v>
      </c>
      <c r="N72" s="92">
        <f t="shared" si="256"/>
        <v>0</v>
      </c>
      <c r="O72" s="92">
        <f t="shared" si="256"/>
        <v>109783.75333333333</v>
      </c>
      <c r="P72" s="92">
        <f t="shared" si="256"/>
        <v>0</v>
      </c>
      <c r="Q72" s="92">
        <f t="shared" si="256"/>
        <v>0</v>
      </c>
      <c r="R72" s="92">
        <f t="shared" si="256"/>
        <v>0</v>
      </c>
      <c r="S72" s="92">
        <f t="shared" si="256"/>
        <v>0</v>
      </c>
      <c r="T72" s="92">
        <f t="shared" si="256"/>
        <v>0</v>
      </c>
      <c r="U72" s="92">
        <f t="shared" si="256"/>
        <v>0</v>
      </c>
      <c r="V72" s="92">
        <f t="shared" si="256"/>
        <v>0</v>
      </c>
      <c r="W72" s="92">
        <f t="shared" si="256"/>
        <v>0</v>
      </c>
      <c r="X72" s="92">
        <f t="shared" si="256"/>
        <v>0</v>
      </c>
      <c r="Y72" s="92">
        <f t="shared" si="256"/>
        <v>0</v>
      </c>
      <c r="Z72" s="92">
        <f t="shared" si="256"/>
        <v>0</v>
      </c>
      <c r="AA72" s="92">
        <f t="shared" si="256"/>
        <v>115037.67076666663</v>
      </c>
      <c r="AB72" s="92">
        <f t="shared" si="256"/>
        <v>0</v>
      </c>
      <c r="AC72" s="92">
        <f t="shared" si="256"/>
        <v>0</v>
      </c>
      <c r="AD72" s="92">
        <f t="shared" si="256"/>
        <v>0</v>
      </c>
      <c r="AE72" s="92">
        <f t="shared" si="256"/>
        <v>0</v>
      </c>
      <c r="AF72" s="92">
        <f t="shared" si="256"/>
        <v>0</v>
      </c>
      <c r="AG72" s="92">
        <f t="shared" si="256"/>
        <v>0</v>
      </c>
      <c r="AH72" s="92">
        <f t="shared" si="256"/>
        <v>0</v>
      </c>
      <c r="AI72" s="92">
        <f t="shared" si="256"/>
        <v>0</v>
      </c>
      <c r="AJ72" s="92">
        <f t="shared" si="256"/>
        <v>0</v>
      </c>
      <c r="AK72" s="92">
        <f t="shared" si="256"/>
        <v>0</v>
      </c>
      <c r="AL72" s="92">
        <f t="shared" si="256"/>
        <v>0</v>
      </c>
      <c r="AM72" s="92">
        <f t="shared" si="256"/>
        <v>116763.23582816664</v>
      </c>
      <c r="AN72" s="92">
        <f t="shared" si="256"/>
        <v>0</v>
      </c>
      <c r="AO72" s="92">
        <f t="shared" si="256"/>
        <v>0</v>
      </c>
      <c r="AP72" s="92">
        <f t="shared" si="256"/>
        <v>0</v>
      </c>
      <c r="AQ72" s="92">
        <f t="shared" si="256"/>
        <v>0</v>
      </c>
      <c r="AR72" s="92">
        <f t="shared" si="256"/>
        <v>0</v>
      </c>
      <c r="AS72" s="92">
        <f t="shared" si="256"/>
        <v>0</v>
      </c>
      <c r="AT72" s="92">
        <f t="shared" si="256"/>
        <v>0</v>
      </c>
      <c r="AU72" s="92">
        <f t="shared" si="256"/>
        <v>0</v>
      </c>
      <c r="AV72" s="92">
        <f t="shared" si="256"/>
        <v>0</v>
      </c>
      <c r="AW72" s="92">
        <f t="shared" si="256"/>
        <v>0</v>
      </c>
      <c r="AX72" s="92">
        <f t="shared" si="256"/>
        <v>0</v>
      </c>
      <c r="AY72" s="92">
        <f t="shared" si="256"/>
        <v>118514.68436558911</v>
      </c>
      <c r="AZ72" s="92">
        <f t="shared" si="256"/>
        <v>0</v>
      </c>
      <c r="BA72" s="92">
        <f t="shared" si="256"/>
        <v>0</v>
      </c>
      <c r="BB72" s="92">
        <f t="shared" si="256"/>
        <v>0</v>
      </c>
      <c r="BC72" s="92">
        <f t="shared" si="256"/>
        <v>0</v>
      </c>
      <c r="BD72" s="92">
        <f t="shared" si="256"/>
        <v>0</v>
      </c>
      <c r="BE72" s="92">
        <f t="shared" si="256"/>
        <v>0</v>
      </c>
      <c r="BF72" s="92">
        <f t="shared" si="256"/>
        <v>0</v>
      </c>
      <c r="BG72" s="92">
        <f t="shared" si="256"/>
        <v>0</v>
      </c>
      <c r="BH72" s="92">
        <f t="shared" si="256"/>
        <v>0</v>
      </c>
      <c r="BI72" s="92">
        <f t="shared" si="256"/>
        <v>0</v>
      </c>
      <c r="BJ72" s="92">
        <f t="shared" si="256"/>
        <v>0</v>
      </c>
      <c r="BK72" s="92">
        <f t="shared" si="256"/>
        <v>120292.40463107295</v>
      </c>
      <c r="BL72" s="92">
        <f t="shared" si="256"/>
        <v>0</v>
      </c>
      <c r="BM72" s="92">
        <f t="shared" si="256"/>
        <v>0</v>
      </c>
      <c r="BN72" s="92">
        <f t="shared" si="256"/>
        <v>0</v>
      </c>
      <c r="BO72" s="92">
        <f t="shared" si="256"/>
        <v>0</v>
      </c>
      <c r="BP72" s="92">
        <f t="shared" ref="BP72:EA72" si="257">SUM(BP64:BP69)</f>
        <v>0</v>
      </c>
      <c r="BQ72" s="92">
        <f t="shared" si="257"/>
        <v>0</v>
      </c>
      <c r="BR72" s="92">
        <f t="shared" si="257"/>
        <v>0</v>
      </c>
      <c r="BS72" s="92">
        <f t="shared" si="257"/>
        <v>0</v>
      </c>
      <c r="BT72" s="92">
        <f t="shared" si="257"/>
        <v>0</v>
      </c>
      <c r="BU72" s="92">
        <f t="shared" si="257"/>
        <v>0</v>
      </c>
      <c r="BV72" s="92">
        <f t="shared" si="257"/>
        <v>0</v>
      </c>
      <c r="BW72" s="92">
        <f t="shared" si="257"/>
        <v>122096.79070053899</v>
      </c>
      <c r="BX72" s="92">
        <f t="shared" si="257"/>
        <v>0</v>
      </c>
      <c r="BY72" s="92">
        <f t="shared" si="257"/>
        <v>0</v>
      </c>
      <c r="BZ72" s="92">
        <f t="shared" si="257"/>
        <v>0</v>
      </c>
      <c r="CA72" s="92">
        <f t="shared" si="257"/>
        <v>0</v>
      </c>
      <c r="CB72" s="92">
        <f t="shared" si="257"/>
        <v>0</v>
      </c>
      <c r="CC72" s="92">
        <f t="shared" si="257"/>
        <v>0</v>
      </c>
      <c r="CD72" s="92">
        <f t="shared" si="257"/>
        <v>0</v>
      </c>
      <c r="CE72" s="92">
        <f t="shared" si="257"/>
        <v>0</v>
      </c>
      <c r="CF72" s="92">
        <f t="shared" si="257"/>
        <v>0</v>
      </c>
      <c r="CG72" s="92">
        <f t="shared" si="257"/>
        <v>0</v>
      </c>
      <c r="CH72" s="92">
        <f t="shared" si="257"/>
        <v>0</v>
      </c>
      <c r="CI72" s="92">
        <f t="shared" si="257"/>
        <v>123928.24256104707</v>
      </c>
      <c r="CJ72" s="92">
        <f t="shared" si="257"/>
        <v>0</v>
      </c>
      <c r="CK72" s="92">
        <f t="shared" si="257"/>
        <v>0</v>
      </c>
      <c r="CL72" s="92">
        <f t="shared" si="257"/>
        <v>0</v>
      </c>
      <c r="CM72" s="92">
        <f t="shared" si="257"/>
        <v>0</v>
      </c>
      <c r="CN72" s="92">
        <f t="shared" si="257"/>
        <v>0</v>
      </c>
      <c r="CO72" s="92">
        <f t="shared" si="257"/>
        <v>0</v>
      </c>
      <c r="CP72" s="92">
        <f t="shared" si="257"/>
        <v>0</v>
      </c>
      <c r="CQ72" s="92">
        <f t="shared" si="257"/>
        <v>0</v>
      </c>
      <c r="CR72" s="92">
        <f t="shared" si="257"/>
        <v>0</v>
      </c>
      <c r="CS72" s="92">
        <f t="shared" si="257"/>
        <v>0</v>
      </c>
      <c r="CT72" s="92">
        <f t="shared" si="257"/>
        <v>0</v>
      </c>
      <c r="CU72" s="92">
        <f t="shared" si="257"/>
        <v>125787.16619946276</v>
      </c>
      <c r="CV72" s="92">
        <f t="shared" si="257"/>
        <v>0</v>
      </c>
      <c r="CW72" s="92">
        <f t="shared" si="257"/>
        <v>0</v>
      </c>
      <c r="CX72" s="92">
        <f t="shared" si="257"/>
        <v>0</v>
      </c>
      <c r="CY72" s="92">
        <f t="shared" si="257"/>
        <v>0</v>
      </c>
      <c r="CZ72" s="92">
        <f t="shared" si="257"/>
        <v>0</v>
      </c>
      <c r="DA72" s="92">
        <f t="shared" si="257"/>
        <v>0</v>
      </c>
      <c r="DB72" s="92">
        <f t="shared" si="257"/>
        <v>0</v>
      </c>
      <c r="DC72" s="92">
        <f t="shared" si="257"/>
        <v>0</v>
      </c>
      <c r="DD72" s="92">
        <f t="shared" si="257"/>
        <v>0</v>
      </c>
      <c r="DE72" s="92">
        <f t="shared" si="257"/>
        <v>0</v>
      </c>
      <c r="DF72" s="92">
        <f t="shared" si="257"/>
        <v>0</v>
      </c>
      <c r="DG72" s="92">
        <f t="shared" si="257"/>
        <v>127673.97369245469</v>
      </c>
      <c r="DH72" s="92">
        <f t="shared" si="257"/>
        <v>0</v>
      </c>
      <c r="DI72" s="92">
        <f t="shared" si="257"/>
        <v>0</v>
      </c>
      <c r="DJ72" s="92">
        <f t="shared" si="257"/>
        <v>0</v>
      </c>
      <c r="DK72" s="92">
        <f t="shared" si="257"/>
        <v>0</v>
      </c>
      <c r="DL72" s="92">
        <f t="shared" si="257"/>
        <v>0</v>
      </c>
      <c r="DM72" s="92">
        <f t="shared" si="257"/>
        <v>0</v>
      </c>
      <c r="DN72" s="92">
        <f t="shared" si="257"/>
        <v>0</v>
      </c>
      <c r="DO72" s="92">
        <f t="shared" si="257"/>
        <v>0</v>
      </c>
      <c r="DP72" s="92">
        <f t="shared" si="257"/>
        <v>0</v>
      </c>
      <c r="DQ72" s="92">
        <f t="shared" si="257"/>
        <v>0</v>
      </c>
      <c r="DR72" s="92">
        <f t="shared" si="257"/>
        <v>0</v>
      </c>
      <c r="DS72" s="92">
        <f t="shared" si="257"/>
        <v>129589.0832978415</v>
      </c>
      <c r="DT72" s="92">
        <f t="shared" si="257"/>
        <v>0</v>
      </c>
      <c r="DU72" s="92">
        <f t="shared" si="257"/>
        <v>0</v>
      </c>
      <c r="DV72" s="92">
        <f t="shared" si="257"/>
        <v>0</v>
      </c>
      <c r="DW72" s="92">
        <f t="shared" si="257"/>
        <v>0</v>
      </c>
      <c r="DX72" s="92">
        <f t="shared" si="257"/>
        <v>0</v>
      </c>
      <c r="DY72" s="92">
        <f t="shared" si="257"/>
        <v>0</v>
      </c>
      <c r="DZ72" s="92">
        <f t="shared" si="257"/>
        <v>0</v>
      </c>
      <c r="EA72" s="92">
        <f t="shared" si="257"/>
        <v>0</v>
      </c>
      <c r="EB72" s="92">
        <f t="shared" ref="EB72:FZ72" si="258">SUM(EB64:EB69)</f>
        <v>0</v>
      </c>
      <c r="EC72" s="92">
        <f t="shared" si="258"/>
        <v>0</v>
      </c>
      <c r="ED72" s="92">
        <f t="shared" si="258"/>
        <v>0</v>
      </c>
      <c r="EE72" s="92">
        <f t="shared" si="258"/>
        <v>131532.91954730908</v>
      </c>
      <c r="EF72" s="92">
        <f t="shared" si="258"/>
        <v>0</v>
      </c>
      <c r="EG72" s="92">
        <f t="shared" si="258"/>
        <v>0</v>
      </c>
      <c r="EH72" s="92">
        <f t="shared" si="258"/>
        <v>0</v>
      </c>
      <c r="EI72" s="92">
        <f t="shared" si="258"/>
        <v>0</v>
      </c>
      <c r="EJ72" s="92">
        <f t="shared" si="258"/>
        <v>0</v>
      </c>
      <c r="EK72" s="92">
        <f t="shared" si="258"/>
        <v>0</v>
      </c>
      <c r="EL72" s="92">
        <f t="shared" si="258"/>
        <v>0</v>
      </c>
      <c r="EM72" s="92">
        <f t="shared" si="258"/>
        <v>0</v>
      </c>
      <c r="EN72" s="92">
        <f t="shared" si="258"/>
        <v>0</v>
      </c>
      <c r="EO72" s="92">
        <f t="shared" si="258"/>
        <v>0</v>
      </c>
      <c r="EP72" s="92">
        <f t="shared" si="258"/>
        <v>0</v>
      </c>
      <c r="EQ72" s="92">
        <f t="shared" si="258"/>
        <v>133505.91334051869</v>
      </c>
      <c r="ER72" s="92">
        <f t="shared" si="258"/>
        <v>0</v>
      </c>
      <c r="ES72" s="92">
        <f t="shared" si="258"/>
        <v>0</v>
      </c>
      <c r="ET72" s="92">
        <f t="shared" si="258"/>
        <v>0</v>
      </c>
      <c r="EU72" s="92">
        <f t="shared" si="258"/>
        <v>0</v>
      </c>
      <c r="EV72" s="92">
        <f t="shared" si="258"/>
        <v>0</v>
      </c>
      <c r="EW72" s="92">
        <f t="shared" si="258"/>
        <v>0</v>
      </c>
      <c r="EX72" s="92">
        <f t="shared" si="258"/>
        <v>0</v>
      </c>
      <c r="EY72" s="92">
        <f t="shared" si="258"/>
        <v>0</v>
      </c>
      <c r="EZ72" s="92">
        <f t="shared" si="258"/>
        <v>0</v>
      </c>
      <c r="FA72" s="92">
        <f t="shared" si="258"/>
        <v>0</v>
      </c>
      <c r="FB72" s="92">
        <f t="shared" si="258"/>
        <v>0</v>
      </c>
      <c r="FC72" s="92">
        <f t="shared" si="258"/>
        <v>135508.50204062648</v>
      </c>
      <c r="FD72" s="92">
        <f t="shared" si="258"/>
        <v>0</v>
      </c>
      <c r="FE72" s="92">
        <f t="shared" si="258"/>
        <v>0</v>
      </c>
      <c r="FF72" s="92">
        <f t="shared" si="258"/>
        <v>0</v>
      </c>
      <c r="FG72" s="92">
        <f t="shared" si="258"/>
        <v>0</v>
      </c>
      <c r="FH72" s="92">
        <f t="shared" si="258"/>
        <v>0</v>
      </c>
      <c r="FI72" s="92">
        <f t="shared" si="258"/>
        <v>0</v>
      </c>
      <c r="FJ72" s="92">
        <f t="shared" si="258"/>
        <v>0</v>
      </c>
      <c r="FK72" s="92">
        <f t="shared" si="258"/>
        <v>0</v>
      </c>
      <c r="FL72" s="92">
        <f t="shared" si="258"/>
        <v>0</v>
      </c>
      <c r="FM72" s="92">
        <f t="shared" si="258"/>
        <v>0</v>
      </c>
      <c r="FN72" s="92">
        <f t="shared" si="258"/>
        <v>0</v>
      </c>
      <c r="FO72" s="92">
        <f t="shared" si="258"/>
        <v>137541.12957123586</v>
      </c>
      <c r="FP72" s="92">
        <f t="shared" si="258"/>
        <v>0</v>
      </c>
      <c r="FQ72" s="92">
        <f t="shared" si="258"/>
        <v>0</v>
      </c>
      <c r="FR72" s="92">
        <f t="shared" si="258"/>
        <v>0</v>
      </c>
      <c r="FS72" s="92">
        <f t="shared" si="258"/>
        <v>0</v>
      </c>
      <c r="FT72" s="92">
        <f t="shared" si="258"/>
        <v>0</v>
      </c>
      <c r="FU72" s="92">
        <f t="shared" si="258"/>
        <v>0</v>
      </c>
      <c r="FV72" s="92">
        <f t="shared" si="258"/>
        <v>0</v>
      </c>
      <c r="FW72" s="92">
        <f t="shared" si="258"/>
        <v>0</v>
      </c>
      <c r="FX72" s="92">
        <f t="shared" si="258"/>
        <v>0</v>
      </c>
      <c r="FY72" s="92">
        <f t="shared" si="258"/>
        <v>0</v>
      </c>
      <c r="FZ72" s="93">
        <f t="shared" si="258"/>
        <v>0</v>
      </c>
    </row>
    <row r="74" spans="2:182" x14ac:dyDescent="0.2">
      <c r="B74" s="74" t="s">
        <v>47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6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9"/>
      <c r="EY74" s="19"/>
      <c r="EZ74" s="19"/>
      <c r="FA74" s="19"/>
      <c r="FB74" s="19"/>
      <c r="FC74" s="19"/>
      <c r="FD74" s="19"/>
      <c r="FE74" s="19"/>
      <c r="FF74" s="19"/>
      <c r="FG74" s="19"/>
      <c r="FH74" s="19"/>
      <c r="FI74" s="19"/>
      <c r="FJ74" s="19"/>
      <c r="FK74" s="19"/>
      <c r="FL74" s="19"/>
      <c r="FM74" s="19"/>
      <c r="FN74" s="19"/>
      <c r="FO74" s="19"/>
      <c r="FP74" s="19"/>
      <c r="FQ74" s="19"/>
      <c r="FR74" s="19"/>
      <c r="FS74" s="19"/>
      <c r="FT74" s="19"/>
      <c r="FU74" s="19"/>
      <c r="FV74" s="19"/>
      <c r="FW74" s="19"/>
      <c r="FX74" s="19"/>
      <c r="FY74" s="19"/>
      <c r="FZ74" s="19"/>
    </row>
    <row r="75" spans="2:182" x14ac:dyDescent="0.2">
      <c r="B75" s="77" t="s">
        <v>87</v>
      </c>
      <c r="C75" s="78">
        <f>ROUNDUP(C76/12,0)</f>
        <v>1</v>
      </c>
      <c r="D75" s="78">
        <f t="shared" ref="D75:BO75" si="259">ROUNDUP(D76/12,0)</f>
        <v>1</v>
      </c>
      <c r="E75" s="78">
        <f t="shared" si="259"/>
        <v>1</v>
      </c>
      <c r="F75" s="78">
        <f t="shared" si="259"/>
        <v>1</v>
      </c>
      <c r="G75" s="78">
        <f t="shared" si="259"/>
        <v>1</v>
      </c>
      <c r="H75" s="78">
        <f t="shared" si="259"/>
        <v>1</v>
      </c>
      <c r="I75" s="78">
        <f t="shared" si="259"/>
        <v>1</v>
      </c>
      <c r="J75" s="78">
        <f t="shared" si="259"/>
        <v>1</v>
      </c>
      <c r="K75" s="78">
        <f t="shared" si="259"/>
        <v>1</v>
      </c>
      <c r="L75" s="78">
        <f t="shared" si="259"/>
        <v>1</v>
      </c>
      <c r="M75" s="78">
        <f t="shared" si="259"/>
        <v>1</v>
      </c>
      <c r="N75" s="78">
        <f t="shared" si="259"/>
        <v>1</v>
      </c>
      <c r="O75" s="78">
        <f t="shared" si="259"/>
        <v>2</v>
      </c>
      <c r="P75" s="78">
        <f t="shared" si="259"/>
        <v>2</v>
      </c>
      <c r="Q75" s="78">
        <f t="shared" si="259"/>
        <v>2</v>
      </c>
      <c r="R75" s="78">
        <f t="shared" si="259"/>
        <v>2</v>
      </c>
      <c r="S75" s="78">
        <f t="shared" si="259"/>
        <v>2</v>
      </c>
      <c r="T75" s="78">
        <f t="shared" si="259"/>
        <v>2</v>
      </c>
      <c r="U75" s="78">
        <f t="shared" si="259"/>
        <v>2</v>
      </c>
      <c r="V75" s="78">
        <f t="shared" si="259"/>
        <v>2</v>
      </c>
      <c r="W75" s="78">
        <f t="shared" si="259"/>
        <v>2</v>
      </c>
      <c r="X75" s="78">
        <f t="shared" si="259"/>
        <v>2</v>
      </c>
      <c r="Y75" s="78">
        <f t="shared" si="259"/>
        <v>2</v>
      </c>
      <c r="Z75" s="78">
        <f t="shared" si="259"/>
        <v>2</v>
      </c>
      <c r="AA75" s="78">
        <f t="shared" si="259"/>
        <v>3</v>
      </c>
      <c r="AB75" s="78">
        <f t="shared" si="259"/>
        <v>3</v>
      </c>
      <c r="AC75" s="78">
        <f t="shared" si="259"/>
        <v>3</v>
      </c>
      <c r="AD75" s="78">
        <f t="shared" si="259"/>
        <v>3</v>
      </c>
      <c r="AE75" s="78">
        <f t="shared" si="259"/>
        <v>3</v>
      </c>
      <c r="AF75" s="78">
        <f t="shared" si="259"/>
        <v>3</v>
      </c>
      <c r="AG75" s="78">
        <f t="shared" si="259"/>
        <v>3</v>
      </c>
      <c r="AH75" s="78">
        <f t="shared" si="259"/>
        <v>3</v>
      </c>
      <c r="AI75" s="78">
        <f t="shared" si="259"/>
        <v>3</v>
      </c>
      <c r="AJ75" s="78">
        <f t="shared" si="259"/>
        <v>3</v>
      </c>
      <c r="AK75" s="78">
        <f t="shared" si="259"/>
        <v>3</v>
      </c>
      <c r="AL75" s="78">
        <f t="shared" si="259"/>
        <v>3</v>
      </c>
      <c r="AM75" s="78">
        <f t="shared" si="259"/>
        <v>4</v>
      </c>
      <c r="AN75" s="78">
        <f t="shared" si="259"/>
        <v>4</v>
      </c>
      <c r="AO75" s="78">
        <f t="shared" si="259"/>
        <v>4</v>
      </c>
      <c r="AP75" s="78">
        <f t="shared" si="259"/>
        <v>4</v>
      </c>
      <c r="AQ75" s="78">
        <f t="shared" si="259"/>
        <v>4</v>
      </c>
      <c r="AR75" s="78">
        <f t="shared" si="259"/>
        <v>4</v>
      </c>
      <c r="AS75" s="78">
        <f t="shared" si="259"/>
        <v>4</v>
      </c>
      <c r="AT75" s="78">
        <f t="shared" si="259"/>
        <v>4</v>
      </c>
      <c r="AU75" s="78">
        <f t="shared" si="259"/>
        <v>4</v>
      </c>
      <c r="AV75" s="78">
        <f t="shared" si="259"/>
        <v>4</v>
      </c>
      <c r="AW75" s="78">
        <f t="shared" si="259"/>
        <v>4</v>
      </c>
      <c r="AX75" s="78">
        <f t="shared" si="259"/>
        <v>4</v>
      </c>
      <c r="AY75" s="78">
        <f t="shared" si="259"/>
        <v>5</v>
      </c>
      <c r="AZ75" s="78">
        <f t="shared" si="259"/>
        <v>5</v>
      </c>
      <c r="BA75" s="78">
        <f t="shared" si="259"/>
        <v>5</v>
      </c>
      <c r="BB75" s="78">
        <f t="shared" si="259"/>
        <v>5</v>
      </c>
      <c r="BC75" s="78">
        <f t="shared" si="259"/>
        <v>5</v>
      </c>
      <c r="BD75" s="78">
        <f t="shared" si="259"/>
        <v>5</v>
      </c>
      <c r="BE75" s="78">
        <f t="shared" si="259"/>
        <v>5</v>
      </c>
      <c r="BF75" s="78">
        <f t="shared" si="259"/>
        <v>5</v>
      </c>
      <c r="BG75" s="78">
        <f t="shared" si="259"/>
        <v>5</v>
      </c>
      <c r="BH75" s="78">
        <f t="shared" si="259"/>
        <v>5</v>
      </c>
      <c r="BI75" s="78">
        <f t="shared" si="259"/>
        <v>5</v>
      </c>
      <c r="BJ75" s="78">
        <f t="shared" si="259"/>
        <v>5</v>
      </c>
      <c r="BK75" s="78">
        <f t="shared" si="259"/>
        <v>6</v>
      </c>
      <c r="BL75" s="78">
        <f t="shared" si="259"/>
        <v>6</v>
      </c>
      <c r="BM75" s="78">
        <f t="shared" si="259"/>
        <v>6</v>
      </c>
      <c r="BN75" s="78">
        <f t="shared" si="259"/>
        <v>6</v>
      </c>
      <c r="BO75" s="78">
        <f t="shared" si="259"/>
        <v>6</v>
      </c>
      <c r="BP75" s="78">
        <f t="shared" ref="BP75:EA75" si="260">ROUNDUP(BP76/12,0)</f>
        <v>6</v>
      </c>
      <c r="BQ75" s="78">
        <f t="shared" si="260"/>
        <v>6</v>
      </c>
      <c r="BR75" s="78">
        <f t="shared" si="260"/>
        <v>6</v>
      </c>
      <c r="BS75" s="78">
        <f t="shared" si="260"/>
        <v>6</v>
      </c>
      <c r="BT75" s="78">
        <f t="shared" si="260"/>
        <v>6</v>
      </c>
      <c r="BU75" s="78">
        <f t="shared" si="260"/>
        <v>6</v>
      </c>
      <c r="BV75" s="78">
        <f t="shared" si="260"/>
        <v>6</v>
      </c>
      <c r="BW75" s="78">
        <f t="shared" si="260"/>
        <v>7</v>
      </c>
      <c r="BX75" s="78">
        <f t="shared" si="260"/>
        <v>7</v>
      </c>
      <c r="BY75" s="78">
        <f t="shared" si="260"/>
        <v>7</v>
      </c>
      <c r="BZ75" s="78">
        <f t="shared" si="260"/>
        <v>7</v>
      </c>
      <c r="CA75" s="78">
        <f t="shared" si="260"/>
        <v>7</v>
      </c>
      <c r="CB75" s="78">
        <f t="shared" si="260"/>
        <v>7</v>
      </c>
      <c r="CC75" s="78">
        <f t="shared" si="260"/>
        <v>7</v>
      </c>
      <c r="CD75" s="78">
        <f t="shared" si="260"/>
        <v>7</v>
      </c>
      <c r="CE75" s="78">
        <f t="shared" si="260"/>
        <v>7</v>
      </c>
      <c r="CF75" s="78">
        <f t="shared" si="260"/>
        <v>7</v>
      </c>
      <c r="CG75" s="78">
        <f t="shared" si="260"/>
        <v>7</v>
      </c>
      <c r="CH75" s="78">
        <f t="shared" si="260"/>
        <v>7</v>
      </c>
      <c r="CI75" s="78">
        <f t="shared" si="260"/>
        <v>8</v>
      </c>
      <c r="CJ75" s="78">
        <f t="shared" si="260"/>
        <v>8</v>
      </c>
      <c r="CK75" s="78">
        <f t="shared" si="260"/>
        <v>8</v>
      </c>
      <c r="CL75" s="78">
        <f t="shared" si="260"/>
        <v>8</v>
      </c>
      <c r="CM75" s="78">
        <f t="shared" si="260"/>
        <v>8</v>
      </c>
      <c r="CN75" s="78">
        <f t="shared" si="260"/>
        <v>8</v>
      </c>
      <c r="CO75" s="78">
        <f t="shared" si="260"/>
        <v>8</v>
      </c>
      <c r="CP75" s="78">
        <f t="shared" si="260"/>
        <v>8</v>
      </c>
      <c r="CQ75" s="78">
        <f t="shared" si="260"/>
        <v>8</v>
      </c>
      <c r="CR75" s="78">
        <f t="shared" si="260"/>
        <v>8</v>
      </c>
      <c r="CS75" s="78">
        <f t="shared" si="260"/>
        <v>8</v>
      </c>
      <c r="CT75" s="78">
        <f t="shared" si="260"/>
        <v>8</v>
      </c>
      <c r="CU75" s="78">
        <f t="shared" si="260"/>
        <v>9</v>
      </c>
      <c r="CV75" s="78">
        <f t="shared" si="260"/>
        <v>9</v>
      </c>
      <c r="CW75" s="78">
        <f t="shared" si="260"/>
        <v>9</v>
      </c>
      <c r="CX75" s="78">
        <f t="shared" si="260"/>
        <v>9</v>
      </c>
      <c r="CY75" s="78">
        <f t="shared" si="260"/>
        <v>9</v>
      </c>
      <c r="CZ75" s="78">
        <f t="shared" si="260"/>
        <v>9</v>
      </c>
      <c r="DA75" s="78">
        <f t="shared" si="260"/>
        <v>9</v>
      </c>
      <c r="DB75" s="78">
        <f t="shared" si="260"/>
        <v>9</v>
      </c>
      <c r="DC75" s="78">
        <f t="shared" si="260"/>
        <v>9</v>
      </c>
      <c r="DD75" s="78">
        <f t="shared" si="260"/>
        <v>9</v>
      </c>
      <c r="DE75" s="78">
        <f t="shared" si="260"/>
        <v>9</v>
      </c>
      <c r="DF75" s="78">
        <f t="shared" si="260"/>
        <v>9</v>
      </c>
      <c r="DG75" s="78">
        <f t="shared" si="260"/>
        <v>10</v>
      </c>
      <c r="DH75" s="78">
        <f t="shared" si="260"/>
        <v>10</v>
      </c>
      <c r="DI75" s="78">
        <f t="shared" si="260"/>
        <v>10</v>
      </c>
      <c r="DJ75" s="78">
        <f t="shared" si="260"/>
        <v>10</v>
      </c>
      <c r="DK75" s="78">
        <f t="shared" si="260"/>
        <v>10</v>
      </c>
      <c r="DL75" s="78">
        <f t="shared" si="260"/>
        <v>10</v>
      </c>
      <c r="DM75" s="78">
        <f t="shared" si="260"/>
        <v>10</v>
      </c>
      <c r="DN75" s="78">
        <f t="shared" si="260"/>
        <v>10</v>
      </c>
      <c r="DO75" s="78">
        <f t="shared" si="260"/>
        <v>10</v>
      </c>
      <c r="DP75" s="78">
        <f t="shared" si="260"/>
        <v>10</v>
      </c>
      <c r="DQ75" s="78">
        <f t="shared" si="260"/>
        <v>10</v>
      </c>
      <c r="DR75" s="78">
        <f t="shared" si="260"/>
        <v>10</v>
      </c>
      <c r="DS75" s="78">
        <f t="shared" si="260"/>
        <v>11</v>
      </c>
      <c r="DT75" s="78">
        <f t="shared" si="260"/>
        <v>11</v>
      </c>
      <c r="DU75" s="78">
        <f t="shared" si="260"/>
        <v>11</v>
      </c>
      <c r="DV75" s="78">
        <f t="shared" si="260"/>
        <v>11</v>
      </c>
      <c r="DW75" s="78">
        <f t="shared" si="260"/>
        <v>11</v>
      </c>
      <c r="DX75" s="78">
        <f t="shared" si="260"/>
        <v>11</v>
      </c>
      <c r="DY75" s="78">
        <f t="shared" si="260"/>
        <v>11</v>
      </c>
      <c r="DZ75" s="78">
        <f t="shared" si="260"/>
        <v>11</v>
      </c>
      <c r="EA75" s="78">
        <f t="shared" si="260"/>
        <v>11</v>
      </c>
      <c r="EB75" s="78">
        <f t="shared" ref="EB75:FZ75" si="261">ROUNDUP(EB76/12,0)</f>
        <v>11</v>
      </c>
      <c r="EC75" s="78">
        <f t="shared" si="261"/>
        <v>11</v>
      </c>
      <c r="ED75" s="78">
        <f t="shared" si="261"/>
        <v>11</v>
      </c>
      <c r="EE75" s="78">
        <f t="shared" si="261"/>
        <v>12</v>
      </c>
      <c r="EF75" s="78">
        <f t="shared" si="261"/>
        <v>12</v>
      </c>
      <c r="EG75" s="78">
        <f t="shared" si="261"/>
        <v>12</v>
      </c>
      <c r="EH75" s="78">
        <f t="shared" si="261"/>
        <v>12</v>
      </c>
      <c r="EI75" s="78">
        <f t="shared" si="261"/>
        <v>12</v>
      </c>
      <c r="EJ75" s="78">
        <f t="shared" si="261"/>
        <v>12</v>
      </c>
      <c r="EK75" s="78">
        <f t="shared" si="261"/>
        <v>12</v>
      </c>
      <c r="EL75" s="78">
        <f t="shared" si="261"/>
        <v>12</v>
      </c>
      <c r="EM75" s="78">
        <f t="shared" si="261"/>
        <v>12</v>
      </c>
      <c r="EN75" s="78">
        <f t="shared" si="261"/>
        <v>12</v>
      </c>
      <c r="EO75" s="78">
        <f t="shared" si="261"/>
        <v>12</v>
      </c>
      <c r="EP75" s="78">
        <f t="shared" si="261"/>
        <v>12</v>
      </c>
      <c r="EQ75" s="78">
        <f t="shared" si="261"/>
        <v>13</v>
      </c>
      <c r="ER75" s="78">
        <f t="shared" si="261"/>
        <v>13</v>
      </c>
      <c r="ES75" s="78">
        <f t="shared" si="261"/>
        <v>13</v>
      </c>
      <c r="ET75" s="78">
        <f t="shared" si="261"/>
        <v>13</v>
      </c>
      <c r="EU75" s="78">
        <f t="shared" si="261"/>
        <v>13</v>
      </c>
      <c r="EV75" s="78">
        <f t="shared" si="261"/>
        <v>13</v>
      </c>
      <c r="EW75" s="78">
        <f t="shared" si="261"/>
        <v>13</v>
      </c>
      <c r="EX75" s="78">
        <f t="shared" si="261"/>
        <v>13</v>
      </c>
      <c r="EY75" s="78">
        <f t="shared" si="261"/>
        <v>13</v>
      </c>
      <c r="EZ75" s="78">
        <f t="shared" si="261"/>
        <v>13</v>
      </c>
      <c r="FA75" s="78">
        <f t="shared" si="261"/>
        <v>13</v>
      </c>
      <c r="FB75" s="78">
        <f t="shared" si="261"/>
        <v>13</v>
      </c>
      <c r="FC75" s="78">
        <f t="shared" si="261"/>
        <v>14</v>
      </c>
      <c r="FD75" s="78">
        <f t="shared" si="261"/>
        <v>14</v>
      </c>
      <c r="FE75" s="78">
        <f t="shared" si="261"/>
        <v>14</v>
      </c>
      <c r="FF75" s="78">
        <f t="shared" si="261"/>
        <v>14</v>
      </c>
      <c r="FG75" s="78">
        <f t="shared" si="261"/>
        <v>14</v>
      </c>
      <c r="FH75" s="78">
        <f t="shared" si="261"/>
        <v>14</v>
      </c>
      <c r="FI75" s="78">
        <f t="shared" si="261"/>
        <v>14</v>
      </c>
      <c r="FJ75" s="78">
        <f t="shared" si="261"/>
        <v>14</v>
      </c>
      <c r="FK75" s="78">
        <f t="shared" si="261"/>
        <v>14</v>
      </c>
      <c r="FL75" s="78">
        <f t="shared" si="261"/>
        <v>14</v>
      </c>
      <c r="FM75" s="78">
        <f t="shared" si="261"/>
        <v>14</v>
      </c>
      <c r="FN75" s="78">
        <f t="shared" si="261"/>
        <v>14</v>
      </c>
      <c r="FO75" s="78">
        <f t="shared" si="261"/>
        <v>15</v>
      </c>
      <c r="FP75" s="78">
        <f t="shared" si="261"/>
        <v>15</v>
      </c>
      <c r="FQ75" s="78">
        <f t="shared" si="261"/>
        <v>15</v>
      </c>
      <c r="FR75" s="78">
        <f t="shared" si="261"/>
        <v>15</v>
      </c>
      <c r="FS75" s="78">
        <f t="shared" si="261"/>
        <v>15</v>
      </c>
      <c r="FT75" s="78">
        <f t="shared" si="261"/>
        <v>15</v>
      </c>
      <c r="FU75" s="78">
        <f t="shared" si="261"/>
        <v>15</v>
      </c>
      <c r="FV75" s="78">
        <f t="shared" si="261"/>
        <v>15</v>
      </c>
      <c r="FW75" s="78">
        <f t="shared" si="261"/>
        <v>15</v>
      </c>
      <c r="FX75" s="78">
        <f t="shared" si="261"/>
        <v>15</v>
      </c>
      <c r="FY75" s="78">
        <f t="shared" si="261"/>
        <v>15</v>
      </c>
      <c r="FZ75" s="79">
        <f t="shared" si="261"/>
        <v>15</v>
      </c>
    </row>
    <row r="76" spans="2:182" x14ac:dyDescent="0.2">
      <c r="B76" s="80" t="s">
        <v>130</v>
      </c>
      <c r="C76" s="81">
        <v>1</v>
      </c>
      <c r="D76" s="81">
        <f>C76+1</f>
        <v>2</v>
      </c>
      <c r="E76" s="81">
        <f t="shared" ref="E76:BP76" si="262">D76+1</f>
        <v>3</v>
      </c>
      <c r="F76" s="81">
        <f t="shared" si="262"/>
        <v>4</v>
      </c>
      <c r="G76" s="81">
        <f t="shared" si="262"/>
        <v>5</v>
      </c>
      <c r="H76" s="81">
        <f t="shared" si="262"/>
        <v>6</v>
      </c>
      <c r="I76" s="81">
        <f t="shared" si="262"/>
        <v>7</v>
      </c>
      <c r="J76" s="81">
        <f t="shared" si="262"/>
        <v>8</v>
      </c>
      <c r="K76" s="81">
        <f t="shared" si="262"/>
        <v>9</v>
      </c>
      <c r="L76" s="81">
        <f t="shared" si="262"/>
        <v>10</v>
      </c>
      <c r="M76" s="81">
        <f t="shared" si="262"/>
        <v>11</v>
      </c>
      <c r="N76" s="81">
        <f t="shared" si="262"/>
        <v>12</v>
      </c>
      <c r="O76" s="81">
        <f t="shared" si="262"/>
        <v>13</v>
      </c>
      <c r="P76" s="81">
        <f t="shared" si="262"/>
        <v>14</v>
      </c>
      <c r="Q76" s="81">
        <f t="shared" si="262"/>
        <v>15</v>
      </c>
      <c r="R76" s="81">
        <f t="shared" si="262"/>
        <v>16</v>
      </c>
      <c r="S76" s="81">
        <f t="shared" si="262"/>
        <v>17</v>
      </c>
      <c r="T76" s="81">
        <f t="shared" si="262"/>
        <v>18</v>
      </c>
      <c r="U76" s="81">
        <f t="shared" si="262"/>
        <v>19</v>
      </c>
      <c r="V76" s="81">
        <f t="shared" si="262"/>
        <v>20</v>
      </c>
      <c r="W76" s="81">
        <f t="shared" si="262"/>
        <v>21</v>
      </c>
      <c r="X76" s="81">
        <f t="shared" si="262"/>
        <v>22</v>
      </c>
      <c r="Y76" s="81">
        <f t="shared" si="262"/>
        <v>23</v>
      </c>
      <c r="Z76" s="81">
        <f t="shared" si="262"/>
        <v>24</v>
      </c>
      <c r="AA76" s="81">
        <f t="shared" si="262"/>
        <v>25</v>
      </c>
      <c r="AB76" s="81">
        <f t="shared" si="262"/>
        <v>26</v>
      </c>
      <c r="AC76" s="81">
        <f t="shared" si="262"/>
        <v>27</v>
      </c>
      <c r="AD76" s="81">
        <f t="shared" si="262"/>
        <v>28</v>
      </c>
      <c r="AE76" s="81">
        <f t="shared" si="262"/>
        <v>29</v>
      </c>
      <c r="AF76" s="81">
        <f t="shared" si="262"/>
        <v>30</v>
      </c>
      <c r="AG76" s="81">
        <f t="shared" si="262"/>
        <v>31</v>
      </c>
      <c r="AH76" s="81">
        <f t="shared" si="262"/>
        <v>32</v>
      </c>
      <c r="AI76" s="81">
        <f t="shared" si="262"/>
        <v>33</v>
      </c>
      <c r="AJ76" s="81">
        <f t="shared" si="262"/>
        <v>34</v>
      </c>
      <c r="AK76" s="81">
        <f t="shared" si="262"/>
        <v>35</v>
      </c>
      <c r="AL76" s="81">
        <f t="shared" si="262"/>
        <v>36</v>
      </c>
      <c r="AM76" s="81">
        <f t="shared" si="262"/>
        <v>37</v>
      </c>
      <c r="AN76" s="81">
        <f t="shared" si="262"/>
        <v>38</v>
      </c>
      <c r="AO76" s="81">
        <f t="shared" si="262"/>
        <v>39</v>
      </c>
      <c r="AP76" s="81">
        <f t="shared" si="262"/>
        <v>40</v>
      </c>
      <c r="AQ76" s="81">
        <f t="shared" si="262"/>
        <v>41</v>
      </c>
      <c r="AR76" s="81">
        <f t="shared" si="262"/>
        <v>42</v>
      </c>
      <c r="AS76" s="81">
        <f t="shared" si="262"/>
        <v>43</v>
      </c>
      <c r="AT76" s="81">
        <f t="shared" si="262"/>
        <v>44</v>
      </c>
      <c r="AU76" s="81">
        <f t="shared" si="262"/>
        <v>45</v>
      </c>
      <c r="AV76" s="81">
        <f t="shared" si="262"/>
        <v>46</v>
      </c>
      <c r="AW76" s="81">
        <f t="shared" si="262"/>
        <v>47</v>
      </c>
      <c r="AX76" s="81">
        <f t="shared" si="262"/>
        <v>48</v>
      </c>
      <c r="AY76" s="81">
        <f t="shared" si="262"/>
        <v>49</v>
      </c>
      <c r="AZ76" s="81">
        <f t="shared" si="262"/>
        <v>50</v>
      </c>
      <c r="BA76" s="81">
        <f t="shared" si="262"/>
        <v>51</v>
      </c>
      <c r="BB76" s="81">
        <f t="shared" si="262"/>
        <v>52</v>
      </c>
      <c r="BC76" s="81">
        <f t="shared" si="262"/>
        <v>53</v>
      </c>
      <c r="BD76" s="81">
        <f t="shared" si="262"/>
        <v>54</v>
      </c>
      <c r="BE76" s="81">
        <f t="shared" si="262"/>
        <v>55</v>
      </c>
      <c r="BF76" s="81">
        <f t="shared" si="262"/>
        <v>56</v>
      </c>
      <c r="BG76" s="81">
        <f t="shared" si="262"/>
        <v>57</v>
      </c>
      <c r="BH76" s="81">
        <f t="shared" si="262"/>
        <v>58</v>
      </c>
      <c r="BI76" s="81">
        <f t="shared" si="262"/>
        <v>59</v>
      </c>
      <c r="BJ76" s="81">
        <f t="shared" si="262"/>
        <v>60</v>
      </c>
      <c r="BK76" s="81">
        <f t="shared" si="262"/>
        <v>61</v>
      </c>
      <c r="BL76" s="81">
        <f t="shared" si="262"/>
        <v>62</v>
      </c>
      <c r="BM76" s="81">
        <f t="shared" si="262"/>
        <v>63</v>
      </c>
      <c r="BN76" s="81">
        <f t="shared" si="262"/>
        <v>64</v>
      </c>
      <c r="BO76" s="81">
        <f t="shared" si="262"/>
        <v>65</v>
      </c>
      <c r="BP76" s="81">
        <f t="shared" si="262"/>
        <v>66</v>
      </c>
      <c r="BQ76" s="81">
        <f t="shared" ref="BQ76:EB76" si="263">BP76+1</f>
        <v>67</v>
      </c>
      <c r="BR76" s="81">
        <f t="shared" si="263"/>
        <v>68</v>
      </c>
      <c r="BS76" s="81">
        <f t="shared" si="263"/>
        <v>69</v>
      </c>
      <c r="BT76" s="81">
        <f t="shared" si="263"/>
        <v>70</v>
      </c>
      <c r="BU76" s="81">
        <f t="shared" si="263"/>
        <v>71</v>
      </c>
      <c r="BV76" s="81">
        <f t="shared" si="263"/>
        <v>72</v>
      </c>
      <c r="BW76" s="81">
        <f t="shared" si="263"/>
        <v>73</v>
      </c>
      <c r="BX76" s="81">
        <f t="shared" si="263"/>
        <v>74</v>
      </c>
      <c r="BY76" s="81">
        <f t="shared" si="263"/>
        <v>75</v>
      </c>
      <c r="BZ76" s="81">
        <f t="shared" si="263"/>
        <v>76</v>
      </c>
      <c r="CA76" s="81">
        <f t="shared" si="263"/>
        <v>77</v>
      </c>
      <c r="CB76" s="81">
        <f t="shared" si="263"/>
        <v>78</v>
      </c>
      <c r="CC76" s="81">
        <f t="shared" si="263"/>
        <v>79</v>
      </c>
      <c r="CD76" s="81">
        <f t="shared" si="263"/>
        <v>80</v>
      </c>
      <c r="CE76" s="81">
        <f t="shared" si="263"/>
        <v>81</v>
      </c>
      <c r="CF76" s="81">
        <f t="shared" si="263"/>
        <v>82</v>
      </c>
      <c r="CG76" s="81">
        <f t="shared" si="263"/>
        <v>83</v>
      </c>
      <c r="CH76" s="81">
        <f t="shared" si="263"/>
        <v>84</v>
      </c>
      <c r="CI76" s="81">
        <f t="shared" si="263"/>
        <v>85</v>
      </c>
      <c r="CJ76" s="81">
        <f t="shared" si="263"/>
        <v>86</v>
      </c>
      <c r="CK76" s="81">
        <f t="shared" si="263"/>
        <v>87</v>
      </c>
      <c r="CL76" s="81">
        <f t="shared" si="263"/>
        <v>88</v>
      </c>
      <c r="CM76" s="81">
        <f t="shared" si="263"/>
        <v>89</v>
      </c>
      <c r="CN76" s="81">
        <f t="shared" si="263"/>
        <v>90</v>
      </c>
      <c r="CO76" s="81">
        <f t="shared" si="263"/>
        <v>91</v>
      </c>
      <c r="CP76" s="81">
        <f t="shared" si="263"/>
        <v>92</v>
      </c>
      <c r="CQ76" s="81">
        <f t="shared" si="263"/>
        <v>93</v>
      </c>
      <c r="CR76" s="81">
        <f t="shared" si="263"/>
        <v>94</v>
      </c>
      <c r="CS76" s="81">
        <f t="shared" si="263"/>
        <v>95</v>
      </c>
      <c r="CT76" s="81">
        <f t="shared" si="263"/>
        <v>96</v>
      </c>
      <c r="CU76" s="81">
        <f t="shared" si="263"/>
        <v>97</v>
      </c>
      <c r="CV76" s="81">
        <f t="shared" si="263"/>
        <v>98</v>
      </c>
      <c r="CW76" s="81">
        <f t="shared" si="263"/>
        <v>99</v>
      </c>
      <c r="CX76" s="81">
        <f t="shared" si="263"/>
        <v>100</v>
      </c>
      <c r="CY76" s="81">
        <f t="shared" si="263"/>
        <v>101</v>
      </c>
      <c r="CZ76" s="81">
        <f t="shared" si="263"/>
        <v>102</v>
      </c>
      <c r="DA76" s="81">
        <f t="shared" si="263"/>
        <v>103</v>
      </c>
      <c r="DB76" s="81">
        <f t="shared" si="263"/>
        <v>104</v>
      </c>
      <c r="DC76" s="81">
        <f t="shared" si="263"/>
        <v>105</v>
      </c>
      <c r="DD76" s="81">
        <f t="shared" si="263"/>
        <v>106</v>
      </c>
      <c r="DE76" s="81">
        <f t="shared" si="263"/>
        <v>107</v>
      </c>
      <c r="DF76" s="81">
        <f t="shared" si="263"/>
        <v>108</v>
      </c>
      <c r="DG76" s="81">
        <f t="shared" si="263"/>
        <v>109</v>
      </c>
      <c r="DH76" s="81">
        <f t="shared" si="263"/>
        <v>110</v>
      </c>
      <c r="DI76" s="81">
        <f t="shared" si="263"/>
        <v>111</v>
      </c>
      <c r="DJ76" s="81">
        <f t="shared" si="263"/>
        <v>112</v>
      </c>
      <c r="DK76" s="81">
        <f t="shared" si="263"/>
        <v>113</v>
      </c>
      <c r="DL76" s="81">
        <f t="shared" si="263"/>
        <v>114</v>
      </c>
      <c r="DM76" s="81">
        <f t="shared" si="263"/>
        <v>115</v>
      </c>
      <c r="DN76" s="81">
        <f t="shared" si="263"/>
        <v>116</v>
      </c>
      <c r="DO76" s="81">
        <f t="shared" si="263"/>
        <v>117</v>
      </c>
      <c r="DP76" s="81">
        <f t="shared" si="263"/>
        <v>118</v>
      </c>
      <c r="DQ76" s="81">
        <f t="shared" si="263"/>
        <v>119</v>
      </c>
      <c r="DR76" s="81">
        <f t="shared" si="263"/>
        <v>120</v>
      </c>
      <c r="DS76" s="81">
        <f t="shared" si="263"/>
        <v>121</v>
      </c>
      <c r="DT76" s="81">
        <f t="shared" si="263"/>
        <v>122</v>
      </c>
      <c r="DU76" s="81">
        <f t="shared" si="263"/>
        <v>123</v>
      </c>
      <c r="DV76" s="81">
        <f t="shared" si="263"/>
        <v>124</v>
      </c>
      <c r="DW76" s="81">
        <f t="shared" si="263"/>
        <v>125</v>
      </c>
      <c r="DX76" s="81">
        <f t="shared" si="263"/>
        <v>126</v>
      </c>
      <c r="DY76" s="81">
        <f t="shared" si="263"/>
        <v>127</v>
      </c>
      <c r="DZ76" s="81">
        <f t="shared" si="263"/>
        <v>128</v>
      </c>
      <c r="EA76" s="81">
        <f t="shared" si="263"/>
        <v>129</v>
      </c>
      <c r="EB76" s="81">
        <f t="shared" si="263"/>
        <v>130</v>
      </c>
      <c r="EC76" s="81">
        <f t="shared" ref="EC76:FZ76" si="264">EB76+1</f>
        <v>131</v>
      </c>
      <c r="ED76" s="81">
        <f t="shared" si="264"/>
        <v>132</v>
      </c>
      <c r="EE76" s="81">
        <f t="shared" si="264"/>
        <v>133</v>
      </c>
      <c r="EF76" s="81">
        <f t="shared" si="264"/>
        <v>134</v>
      </c>
      <c r="EG76" s="81">
        <f t="shared" si="264"/>
        <v>135</v>
      </c>
      <c r="EH76" s="81">
        <f t="shared" si="264"/>
        <v>136</v>
      </c>
      <c r="EI76" s="81">
        <f t="shared" si="264"/>
        <v>137</v>
      </c>
      <c r="EJ76" s="81">
        <f t="shared" si="264"/>
        <v>138</v>
      </c>
      <c r="EK76" s="81">
        <f t="shared" si="264"/>
        <v>139</v>
      </c>
      <c r="EL76" s="81">
        <f t="shared" si="264"/>
        <v>140</v>
      </c>
      <c r="EM76" s="81">
        <f t="shared" si="264"/>
        <v>141</v>
      </c>
      <c r="EN76" s="81">
        <f t="shared" si="264"/>
        <v>142</v>
      </c>
      <c r="EO76" s="81">
        <f t="shared" si="264"/>
        <v>143</v>
      </c>
      <c r="EP76" s="81">
        <f t="shared" si="264"/>
        <v>144</v>
      </c>
      <c r="EQ76" s="81">
        <f t="shared" si="264"/>
        <v>145</v>
      </c>
      <c r="ER76" s="81">
        <f t="shared" si="264"/>
        <v>146</v>
      </c>
      <c r="ES76" s="81">
        <f t="shared" si="264"/>
        <v>147</v>
      </c>
      <c r="ET76" s="81">
        <f t="shared" si="264"/>
        <v>148</v>
      </c>
      <c r="EU76" s="81">
        <f t="shared" si="264"/>
        <v>149</v>
      </c>
      <c r="EV76" s="81">
        <f t="shared" si="264"/>
        <v>150</v>
      </c>
      <c r="EW76" s="81">
        <f t="shared" si="264"/>
        <v>151</v>
      </c>
      <c r="EX76" s="81">
        <f t="shared" si="264"/>
        <v>152</v>
      </c>
      <c r="EY76" s="81">
        <f t="shared" si="264"/>
        <v>153</v>
      </c>
      <c r="EZ76" s="81">
        <f t="shared" si="264"/>
        <v>154</v>
      </c>
      <c r="FA76" s="81">
        <f t="shared" si="264"/>
        <v>155</v>
      </c>
      <c r="FB76" s="81">
        <f t="shared" si="264"/>
        <v>156</v>
      </c>
      <c r="FC76" s="81">
        <f t="shared" si="264"/>
        <v>157</v>
      </c>
      <c r="FD76" s="81">
        <f t="shared" si="264"/>
        <v>158</v>
      </c>
      <c r="FE76" s="81">
        <f t="shared" si="264"/>
        <v>159</v>
      </c>
      <c r="FF76" s="81">
        <f t="shared" si="264"/>
        <v>160</v>
      </c>
      <c r="FG76" s="81">
        <f t="shared" si="264"/>
        <v>161</v>
      </c>
      <c r="FH76" s="81">
        <f t="shared" si="264"/>
        <v>162</v>
      </c>
      <c r="FI76" s="81">
        <f t="shared" si="264"/>
        <v>163</v>
      </c>
      <c r="FJ76" s="81">
        <f t="shared" si="264"/>
        <v>164</v>
      </c>
      <c r="FK76" s="81">
        <f t="shared" si="264"/>
        <v>165</v>
      </c>
      <c r="FL76" s="81">
        <f t="shared" si="264"/>
        <v>166</v>
      </c>
      <c r="FM76" s="81">
        <f t="shared" si="264"/>
        <v>167</v>
      </c>
      <c r="FN76" s="81">
        <f t="shared" si="264"/>
        <v>168</v>
      </c>
      <c r="FO76" s="81">
        <f t="shared" si="264"/>
        <v>169</v>
      </c>
      <c r="FP76" s="81">
        <f t="shared" si="264"/>
        <v>170</v>
      </c>
      <c r="FQ76" s="81">
        <f t="shared" si="264"/>
        <v>171</v>
      </c>
      <c r="FR76" s="81">
        <f t="shared" si="264"/>
        <v>172</v>
      </c>
      <c r="FS76" s="81">
        <f t="shared" si="264"/>
        <v>173</v>
      </c>
      <c r="FT76" s="81">
        <f t="shared" si="264"/>
        <v>174</v>
      </c>
      <c r="FU76" s="81">
        <f t="shared" si="264"/>
        <v>175</v>
      </c>
      <c r="FV76" s="81">
        <f t="shared" si="264"/>
        <v>176</v>
      </c>
      <c r="FW76" s="81">
        <f t="shared" si="264"/>
        <v>177</v>
      </c>
      <c r="FX76" s="81">
        <f t="shared" si="264"/>
        <v>178</v>
      </c>
      <c r="FY76" s="81">
        <f t="shared" si="264"/>
        <v>179</v>
      </c>
      <c r="FZ76" s="82">
        <f t="shared" si="264"/>
        <v>180</v>
      </c>
    </row>
    <row r="77" spans="2:182" x14ac:dyDescent="0.2">
      <c r="B77" s="80" t="s">
        <v>131</v>
      </c>
      <c r="C77" s="83">
        <f>EOMONTH(Analysis_Start,0)</f>
        <v>43861</v>
      </c>
      <c r="D77" s="83">
        <f t="shared" ref="D77:AI77" si="265">EOMONTH(C15,1)</f>
        <v>43890</v>
      </c>
      <c r="E77" s="83">
        <f t="shared" si="265"/>
        <v>43921</v>
      </c>
      <c r="F77" s="83">
        <f t="shared" si="265"/>
        <v>43951</v>
      </c>
      <c r="G77" s="83">
        <f t="shared" si="265"/>
        <v>43982</v>
      </c>
      <c r="H77" s="83">
        <f t="shared" si="265"/>
        <v>44012</v>
      </c>
      <c r="I77" s="83">
        <f t="shared" si="265"/>
        <v>44043</v>
      </c>
      <c r="J77" s="83">
        <f t="shared" si="265"/>
        <v>44074</v>
      </c>
      <c r="K77" s="83">
        <f t="shared" si="265"/>
        <v>44104</v>
      </c>
      <c r="L77" s="83">
        <f t="shared" si="265"/>
        <v>44135</v>
      </c>
      <c r="M77" s="83">
        <f t="shared" si="265"/>
        <v>44165</v>
      </c>
      <c r="N77" s="83">
        <f t="shared" si="265"/>
        <v>44196</v>
      </c>
      <c r="O77" s="83">
        <f t="shared" si="265"/>
        <v>44227</v>
      </c>
      <c r="P77" s="83">
        <f t="shared" si="265"/>
        <v>44255</v>
      </c>
      <c r="Q77" s="83">
        <f t="shared" si="265"/>
        <v>44286</v>
      </c>
      <c r="R77" s="83">
        <f t="shared" si="265"/>
        <v>44316</v>
      </c>
      <c r="S77" s="83">
        <f t="shared" si="265"/>
        <v>44347</v>
      </c>
      <c r="T77" s="83">
        <f t="shared" si="265"/>
        <v>44377</v>
      </c>
      <c r="U77" s="83">
        <f t="shared" si="265"/>
        <v>44408</v>
      </c>
      <c r="V77" s="83">
        <f t="shared" si="265"/>
        <v>44439</v>
      </c>
      <c r="W77" s="83">
        <f t="shared" si="265"/>
        <v>44469</v>
      </c>
      <c r="X77" s="83">
        <f t="shared" si="265"/>
        <v>44500</v>
      </c>
      <c r="Y77" s="83">
        <f t="shared" si="265"/>
        <v>44530</v>
      </c>
      <c r="Z77" s="83">
        <f t="shared" si="265"/>
        <v>44561</v>
      </c>
      <c r="AA77" s="83">
        <f t="shared" si="265"/>
        <v>44592</v>
      </c>
      <c r="AB77" s="83">
        <f t="shared" si="265"/>
        <v>44620</v>
      </c>
      <c r="AC77" s="83">
        <f t="shared" si="265"/>
        <v>44651</v>
      </c>
      <c r="AD77" s="83">
        <f t="shared" si="265"/>
        <v>44681</v>
      </c>
      <c r="AE77" s="83">
        <f t="shared" si="265"/>
        <v>44712</v>
      </c>
      <c r="AF77" s="83">
        <f t="shared" si="265"/>
        <v>44742</v>
      </c>
      <c r="AG77" s="83">
        <f t="shared" si="265"/>
        <v>44773</v>
      </c>
      <c r="AH77" s="83">
        <f t="shared" si="265"/>
        <v>44804</v>
      </c>
      <c r="AI77" s="83">
        <f t="shared" si="265"/>
        <v>44834</v>
      </c>
      <c r="AJ77" s="83">
        <f t="shared" ref="AJ77:BO77" si="266">EOMONTH(AI15,1)</f>
        <v>44865</v>
      </c>
      <c r="AK77" s="83">
        <f t="shared" si="266"/>
        <v>44895</v>
      </c>
      <c r="AL77" s="83">
        <f t="shared" si="266"/>
        <v>44926</v>
      </c>
      <c r="AM77" s="83">
        <f t="shared" si="266"/>
        <v>44957</v>
      </c>
      <c r="AN77" s="83">
        <f t="shared" si="266"/>
        <v>44985</v>
      </c>
      <c r="AO77" s="83">
        <f t="shared" si="266"/>
        <v>45016</v>
      </c>
      <c r="AP77" s="83">
        <f t="shared" si="266"/>
        <v>45046</v>
      </c>
      <c r="AQ77" s="83">
        <f t="shared" si="266"/>
        <v>45077</v>
      </c>
      <c r="AR77" s="83">
        <f t="shared" si="266"/>
        <v>45107</v>
      </c>
      <c r="AS77" s="83">
        <f t="shared" si="266"/>
        <v>45138</v>
      </c>
      <c r="AT77" s="83">
        <f t="shared" si="266"/>
        <v>45169</v>
      </c>
      <c r="AU77" s="83">
        <f t="shared" si="266"/>
        <v>45199</v>
      </c>
      <c r="AV77" s="83">
        <f t="shared" si="266"/>
        <v>45230</v>
      </c>
      <c r="AW77" s="83">
        <f t="shared" si="266"/>
        <v>45260</v>
      </c>
      <c r="AX77" s="83">
        <f t="shared" si="266"/>
        <v>45291</v>
      </c>
      <c r="AY77" s="83">
        <f t="shared" si="266"/>
        <v>45322</v>
      </c>
      <c r="AZ77" s="83">
        <f t="shared" si="266"/>
        <v>45351</v>
      </c>
      <c r="BA77" s="83">
        <f t="shared" si="266"/>
        <v>45382</v>
      </c>
      <c r="BB77" s="83">
        <f t="shared" si="266"/>
        <v>45412</v>
      </c>
      <c r="BC77" s="83">
        <f t="shared" si="266"/>
        <v>45443</v>
      </c>
      <c r="BD77" s="83">
        <f t="shared" si="266"/>
        <v>45473</v>
      </c>
      <c r="BE77" s="83">
        <f t="shared" si="266"/>
        <v>45504</v>
      </c>
      <c r="BF77" s="83">
        <f t="shared" si="266"/>
        <v>45535</v>
      </c>
      <c r="BG77" s="83">
        <f t="shared" si="266"/>
        <v>45565</v>
      </c>
      <c r="BH77" s="83">
        <f t="shared" si="266"/>
        <v>45596</v>
      </c>
      <c r="BI77" s="83">
        <f t="shared" si="266"/>
        <v>45626</v>
      </c>
      <c r="BJ77" s="83">
        <f t="shared" si="266"/>
        <v>45657</v>
      </c>
      <c r="BK77" s="83">
        <f t="shared" si="266"/>
        <v>45688</v>
      </c>
      <c r="BL77" s="83">
        <f t="shared" si="266"/>
        <v>45716</v>
      </c>
      <c r="BM77" s="83">
        <f t="shared" si="266"/>
        <v>45747</v>
      </c>
      <c r="BN77" s="83">
        <f t="shared" si="266"/>
        <v>45777</v>
      </c>
      <c r="BO77" s="83">
        <f t="shared" si="266"/>
        <v>45808</v>
      </c>
      <c r="BP77" s="83">
        <f t="shared" ref="BP77:CU77" si="267">EOMONTH(BO15,1)</f>
        <v>45838</v>
      </c>
      <c r="BQ77" s="83">
        <f t="shared" si="267"/>
        <v>45869</v>
      </c>
      <c r="BR77" s="83">
        <f t="shared" si="267"/>
        <v>45900</v>
      </c>
      <c r="BS77" s="83">
        <f t="shared" si="267"/>
        <v>45930</v>
      </c>
      <c r="BT77" s="83">
        <f t="shared" si="267"/>
        <v>45961</v>
      </c>
      <c r="BU77" s="83">
        <f t="shared" si="267"/>
        <v>45991</v>
      </c>
      <c r="BV77" s="83">
        <f t="shared" si="267"/>
        <v>46022</v>
      </c>
      <c r="BW77" s="83">
        <f t="shared" si="267"/>
        <v>46053</v>
      </c>
      <c r="BX77" s="83">
        <f t="shared" si="267"/>
        <v>46081</v>
      </c>
      <c r="BY77" s="83">
        <f t="shared" si="267"/>
        <v>46112</v>
      </c>
      <c r="BZ77" s="83">
        <f t="shared" si="267"/>
        <v>46142</v>
      </c>
      <c r="CA77" s="83">
        <f t="shared" si="267"/>
        <v>46173</v>
      </c>
      <c r="CB77" s="83">
        <f t="shared" si="267"/>
        <v>46203</v>
      </c>
      <c r="CC77" s="83">
        <f t="shared" si="267"/>
        <v>46234</v>
      </c>
      <c r="CD77" s="83">
        <f t="shared" si="267"/>
        <v>46265</v>
      </c>
      <c r="CE77" s="83">
        <f t="shared" si="267"/>
        <v>46295</v>
      </c>
      <c r="CF77" s="83">
        <f t="shared" si="267"/>
        <v>46326</v>
      </c>
      <c r="CG77" s="83">
        <f t="shared" si="267"/>
        <v>46356</v>
      </c>
      <c r="CH77" s="83">
        <f t="shared" si="267"/>
        <v>46387</v>
      </c>
      <c r="CI77" s="83">
        <f t="shared" si="267"/>
        <v>46418</v>
      </c>
      <c r="CJ77" s="83">
        <f t="shared" si="267"/>
        <v>46446</v>
      </c>
      <c r="CK77" s="83">
        <f t="shared" si="267"/>
        <v>46477</v>
      </c>
      <c r="CL77" s="83">
        <f t="shared" si="267"/>
        <v>46507</v>
      </c>
      <c r="CM77" s="83">
        <f t="shared" si="267"/>
        <v>46538</v>
      </c>
      <c r="CN77" s="83">
        <f t="shared" si="267"/>
        <v>46568</v>
      </c>
      <c r="CO77" s="83">
        <f t="shared" si="267"/>
        <v>46599</v>
      </c>
      <c r="CP77" s="83">
        <f t="shared" si="267"/>
        <v>46630</v>
      </c>
      <c r="CQ77" s="83">
        <f t="shared" si="267"/>
        <v>46660</v>
      </c>
      <c r="CR77" s="83">
        <f t="shared" si="267"/>
        <v>46691</v>
      </c>
      <c r="CS77" s="83">
        <f t="shared" si="267"/>
        <v>46721</v>
      </c>
      <c r="CT77" s="83">
        <f t="shared" si="267"/>
        <v>46752</v>
      </c>
      <c r="CU77" s="83">
        <f t="shared" si="267"/>
        <v>46783</v>
      </c>
      <c r="CV77" s="83">
        <f t="shared" ref="CV77:EA77" si="268">EOMONTH(CU15,1)</f>
        <v>46812</v>
      </c>
      <c r="CW77" s="83">
        <f t="shared" si="268"/>
        <v>46843</v>
      </c>
      <c r="CX77" s="83">
        <f t="shared" si="268"/>
        <v>46873</v>
      </c>
      <c r="CY77" s="83">
        <f t="shared" si="268"/>
        <v>46904</v>
      </c>
      <c r="CZ77" s="83">
        <f t="shared" si="268"/>
        <v>46934</v>
      </c>
      <c r="DA77" s="83">
        <f t="shared" si="268"/>
        <v>46965</v>
      </c>
      <c r="DB77" s="83">
        <f t="shared" si="268"/>
        <v>46996</v>
      </c>
      <c r="DC77" s="83">
        <f t="shared" si="268"/>
        <v>47026</v>
      </c>
      <c r="DD77" s="83">
        <f t="shared" si="268"/>
        <v>47057</v>
      </c>
      <c r="DE77" s="83">
        <f t="shared" si="268"/>
        <v>47087</v>
      </c>
      <c r="DF77" s="83">
        <f t="shared" si="268"/>
        <v>47118</v>
      </c>
      <c r="DG77" s="83">
        <f t="shared" si="268"/>
        <v>47149</v>
      </c>
      <c r="DH77" s="83">
        <f t="shared" si="268"/>
        <v>47177</v>
      </c>
      <c r="DI77" s="83">
        <f t="shared" si="268"/>
        <v>47208</v>
      </c>
      <c r="DJ77" s="83">
        <f t="shared" si="268"/>
        <v>47238</v>
      </c>
      <c r="DK77" s="83">
        <f t="shared" si="268"/>
        <v>47269</v>
      </c>
      <c r="DL77" s="83">
        <f t="shared" si="268"/>
        <v>47299</v>
      </c>
      <c r="DM77" s="83">
        <f t="shared" si="268"/>
        <v>47330</v>
      </c>
      <c r="DN77" s="83">
        <f t="shared" si="268"/>
        <v>47361</v>
      </c>
      <c r="DO77" s="83">
        <f t="shared" si="268"/>
        <v>47391</v>
      </c>
      <c r="DP77" s="83">
        <f t="shared" si="268"/>
        <v>47422</v>
      </c>
      <c r="DQ77" s="83">
        <f t="shared" si="268"/>
        <v>47452</v>
      </c>
      <c r="DR77" s="83">
        <f t="shared" si="268"/>
        <v>47483</v>
      </c>
      <c r="DS77" s="83">
        <f t="shared" si="268"/>
        <v>47514</v>
      </c>
      <c r="DT77" s="83">
        <f t="shared" si="268"/>
        <v>47542</v>
      </c>
      <c r="DU77" s="83">
        <f t="shared" si="268"/>
        <v>47573</v>
      </c>
      <c r="DV77" s="83">
        <f t="shared" si="268"/>
        <v>47603</v>
      </c>
      <c r="DW77" s="83">
        <f t="shared" si="268"/>
        <v>47634</v>
      </c>
      <c r="DX77" s="83">
        <f t="shared" si="268"/>
        <v>47664</v>
      </c>
      <c r="DY77" s="83">
        <f t="shared" si="268"/>
        <v>47695</v>
      </c>
      <c r="DZ77" s="83">
        <f t="shared" si="268"/>
        <v>47726</v>
      </c>
      <c r="EA77" s="83">
        <f t="shared" si="268"/>
        <v>47756</v>
      </c>
      <c r="EB77" s="83">
        <f t="shared" ref="EB77:FG77" si="269">EOMONTH(EA15,1)</f>
        <v>47787</v>
      </c>
      <c r="EC77" s="83">
        <f t="shared" si="269"/>
        <v>47817</v>
      </c>
      <c r="ED77" s="83">
        <f t="shared" si="269"/>
        <v>47848</v>
      </c>
      <c r="EE77" s="83">
        <f t="shared" si="269"/>
        <v>47879</v>
      </c>
      <c r="EF77" s="83">
        <f t="shared" si="269"/>
        <v>47907</v>
      </c>
      <c r="EG77" s="83">
        <f t="shared" si="269"/>
        <v>47938</v>
      </c>
      <c r="EH77" s="83">
        <f t="shared" si="269"/>
        <v>47968</v>
      </c>
      <c r="EI77" s="83">
        <f t="shared" si="269"/>
        <v>47999</v>
      </c>
      <c r="EJ77" s="83">
        <f t="shared" si="269"/>
        <v>48029</v>
      </c>
      <c r="EK77" s="83">
        <f t="shared" si="269"/>
        <v>48060</v>
      </c>
      <c r="EL77" s="83">
        <f t="shared" si="269"/>
        <v>48091</v>
      </c>
      <c r="EM77" s="83">
        <f t="shared" si="269"/>
        <v>48121</v>
      </c>
      <c r="EN77" s="83">
        <f t="shared" si="269"/>
        <v>48152</v>
      </c>
      <c r="EO77" s="83">
        <f t="shared" si="269"/>
        <v>48182</v>
      </c>
      <c r="EP77" s="83">
        <f t="shared" si="269"/>
        <v>48213</v>
      </c>
      <c r="EQ77" s="83">
        <f t="shared" si="269"/>
        <v>48244</v>
      </c>
      <c r="ER77" s="83">
        <f t="shared" si="269"/>
        <v>48273</v>
      </c>
      <c r="ES77" s="83">
        <f t="shared" si="269"/>
        <v>48304</v>
      </c>
      <c r="ET77" s="83">
        <f t="shared" si="269"/>
        <v>48334</v>
      </c>
      <c r="EU77" s="83">
        <f t="shared" si="269"/>
        <v>48365</v>
      </c>
      <c r="EV77" s="83">
        <f t="shared" si="269"/>
        <v>48395</v>
      </c>
      <c r="EW77" s="83">
        <f t="shared" si="269"/>
        <v>48426</v>
      </c>
      <c r="EX77" s="83">
        <f t="shared" si="269"/>
        <v>48457</v>
      </c>
      <c r="EY77" s="83">
        <f t="shared" si="269"/>
        <v>48487</v>
      </c>
      <c r="EZ77" s="83">
        <f t="shared" si="269"/>
        <v>48518</v>
      </c>
      <c r="FA77" s="83">
        <f t="shared" si="269"/>
        <v>48548</v>
      </c>
      <c r="FB77" s="83">
        <f t="shared" si="269"/>
        <v>48579</v>
      </c>
      <c r="FC77" s="83">
        <f t="shared" si="269"/>
        <v>48610</v>
      </c>
      <c r="FD77" s="83">
        <f t="shared" si="269"/>
        <v>48638</v>
      </c>
      <c r="FE77" s="83">
        <f t="shared" si="269"/>
        <v>48669</v>
      </c>
      <c r="FF77" s="83">
        <f t="shared" si="269"/>
        <v>48699</v>
      </c>
      <c r="FG77" s="83">
        <f t="shared" si="269"/>
        <v>48730</v>
      </c>
      <c r="FH77" s="83">
        <f t="shared" ref="FH77:FZ77" si="270">EOMONTH(FG15,1)</f>
        <v>48760</v>
      </c>
      <c r="FI77" s="83">
        <f t="shared" si="270"/>
        <v>48791</v>
      </c>
      <c r="FJ77" s="83">
        <f t="shared" si="270"/>
        <v>48822</v>
      </c>
      <c r="FK77" s="83">
        <f t="shared" si="270"/>
        <v>48852</v>
      </c>
      <c r="FL77" s="83">
        <f t="shared" si="270"/>
        <v>48883</v>
      </c>
      <c r="FM77" s="83">
        <f t="shared" si="270"/>
        <v>48913</v>
      </c>
      <c r="FN77" s="83">
        <f t="shared" si="270"/>
        <v>48944</v>
      </c>
      <c r="FO77" s="83">
        <f t="shared" si="270"/>
        <v>48975</v>
      </c>
      <c r="FP77" s="83">
        <f t="shared" si="270"/>
        <v>49003</v>
      </c>
      <c r="FQ77" s="83">
        <f t="shared" si="270"/>
        <v>49034</v>
      </c>
      <c r="FR77" s="83">
        <f t="shared" si="270"/>
        <v>49064</v>
      </c>
      <c r="FS77" s="83">
        <f t="shared" si="270"/>
        <v>49095</v>
      </c>
      <c r="FT77" s="83">
        <f t="shared" si="270"/>
        <v>49125</v>
      </c>
      <c r="FU77" s="83">
        <f t="shared" si="270"/>
        <v>49156</v>
      </c>
      <c r="FV77" s="83">
        <f t="shared" si="270"/>
        <v>49187</v>
      </c>
      <c r="FW77" s="83">
        <f t="shared" si="270"/>
        <v>49217</v>
      </c>
      <c r="FX77" s="83">
        <f t="shared" si="270"/>
        <v>49248</v>
      </c>
      <c r="FY77" s="83">
        <f t="shared" si="270"/>
        <v>49278</v>
      </c>
      <c r="FZ77" s="84">
        <f t="shared" si="270"/>
        <v>49309</v>
      </c>
    </row>
    <row r="78" spans="2:182" x14ac:dyDescent="0.2">
      <c r="B78" s="85"/>
      <c r="C78" s="73">
        <f>IF(OR($B5="",$B5=0),"",(B40*($R5*(1+'Property Summary'!$I$22)^(C$75-1)))*$C5)</f>
        <v>0</v>
      </c>
      <c r="D78" s="73">
        <f>IF(OR($B5="",$B5=0),"",(C40*($R5*(1+'Property Summary'!$I$22)^(D$75-1)))*$C5)</f>
        <v>0</v>
      </c>
      <c r="E78" s="73">
        <f>IF(OR($B5="",$B5=0),"",(D40*($R5*(1+'Property Summary'!$I$22)^(E$75-1)))*$C5)</f>
        <v>0</v>
      </c>
      <c r="F78" s="73">
        <f>IF(OR($B5="",$B5=0),"",(E40*($R5*(1+'Property Summary'!$I$22)^(F$75-1)))*$C5)</f>
        <v>0</v>
      </c>
      <c r="G78" s="73">
        <f>IF(OR($B5="",$B5=0),"",(F40*($R5*(1+'Property Summary'!$I$22)^(G$75-1)))*$C5)</f>
        <v>0</v>
      </c>
      <c r="H78" s="73">
        <f>IF(OR($B5="",$B5=0),"",(G40*($R5*(1+'Property Summary'!$I$22)^(H$75-1)))*$C5)</f>
        <v>0</v>
      </c>
      <c r="I78" s="73">
        <f>IF(OR($B5="",$B5=0),"",(H40*($R5*(1+'Property Summary'!$I$22)^(I$75-1)))*$C5)</f>
        <v>0</v>
      </c>
      <c r="J78" s="73">
        <f>IF(OR($B5="",$B5=0),"",(I40*($R5*(1+'Property Summary'!$I$22)^(J$75-1)))*$C5)</f>
        <v>0</v>
      </c>
      <c r="K78" s="73">
        <f>IF(OR($B5="",$B5=0),"",(J40*($R5*(1+'Property Summary'!$I$22)^(K$75-1)))*$C5)</f>
        <v>0</v>
      </c>
      <c r="L78" s="73">
        <f>IF(OR($B5="",$B5=0),"",(K40*($R5*(1+'Property Summary'!$I$22)^(L$75-1)))*$C5)</f>
        <v>0</v>
      </c>
      <c r="M78" s="73">
        <f>IF(OR($B5="",$B5=0),"",(L40*($R5*(1+'Property Summary'!$I$22)^(M$75-1)))*$C5)</f>
        <v>0</v>
      </c>
      <c r="N78" s="73">
        <f>IF(OR($B5="",$B5=0),"",(M40*($R5*(1+'Property Summary'!$I$22)^(N$75-1)))*$C5)</f>
        <v>0</v>
      </c>
      <c r="O78" s="73">
        <f>IF(OR($B5="",$B5=0),"",(N40*($R5*(1+'Property Summary'!$I$22)^(O$75-1)))*$C5)</f>
        <v>3590.3999999999996</v>
      </c>
      <c r="P78" s="73">
        <f>IF(OR($B5="",$B5=0),"",(O40*($R5*(1+'Property Summary'!$I$22)^(P$75-1)))*$C5)</f>
        <v>0</v>
      </c>
      <c r="Q78" s="73">
        <f>IF(OR($B5="",$B5=0),"",(P40*($R5*(1+'Property Summary'!$I$22)^(Q$75-1)))*$C5)</f>
        <v>0</v>
      </c>
      <c r="R78" s="73">
        <f>IF(OR($B5="",$B5=0),"",(Q40*($R5*(1+'Property Summary'!$I$22)^(R$75-1)))*$C5)</f>
        <v>0</v>
      </c>
      <c r="S78" s="73">
        <f>IF(OR($B5="",$B5=0),"",(R40*($R5*(1+'Property Summary'!$I$22)^(S$75-1)))*$C5)</f>
        <v>0</v>
      </c>
      <c r="T78" s="73">
        <f>IF(OR($B5="",$B5=0),"",(S40*($R5*(1+'Property Summary'!$I$22)^(T$75-1)))*$C5)</f>
        <v>0</v>
      </c>
      <c r="U78" s="73">
        <f>IF(OR($B5="",$B5=0),"",(T40*($R5*(1+'Property Summary'!$I$22)^(U$75-1)))*$C5)</f>
        <v>0</v>
      </c>
      <c r="V78" s="73">
        <f>IF(OR($B5="",$B5=0),"",(U40*($R5*(1+'Property Summary'!$I$22)^(V$75-1)))*$C5)</f>
        <v>0</v>
      </c>
      <c r="W78" s="73">
        <f>IF(OR($B5="",$B5=0),"",(V40*($R5*(1+'Property Summary'!$I$22)^(W$75-1)))*$C5)</f>
        <v>0</v>
      </c>
      <c r="X78" s="73">
        <f>IF(OR($B5="",$B5=0),"",(W40*($R5*(1+'Property Summary'!$I$22)^(X$75-1)))*$C5)</f>
        <v>0</v>
      </c>
      <c r="Y78" s="73">
        <f>IF(OR($B5="",$B5=0),"",(X40*($R5*(1+'Property Summary'!$I$22)^(Y$75-1)))*$C5)</f>
        <v>0</v>
      </c>
      <c r="Z78" s="73">
        <f>IF(OR($B5="",$B5=0),"",(Y40*($R5*(1+'Property Summary'!$I$22)^(Z$75-1)))*$C5)</f>
        <v>0</v>
      </c>
      <c r="AA78" s="73">
        <f>IF(OR($B5="",$B5=0),"",(Z40*($R5*(1+'Property Summary'!$I$22)^(AA$75-1)))*$C5)</f>
        <v>3662.2080000000001</v>
      </c>
      <c r="AB78" s="73">
        <f>IF(OR($B5="",$B5=0),"",(AA40*($R5*(1+'Property Summary'!$I$22)^(AB$75-1)))*$C5)</f>
        <v>0</v>
      </c>
      <c r="AC78" s="73">
        <f>IF(OR($B5="",$B5=0),"",(AB40*($R5*(1+'Property Summary'!$I$22)^(AC$75-1)))*$C5)</f>
        <v>0</v>
      </c>
      <c r="AD78" s="73">
        <f>IF(OR($B5="",$B5=0),"",(AC40*($R5*(1+'Property Summary'!$I$22)^(AD$75-1)))*$C5)</f>
        <v>0</v>
      </c>
      <c r="AE78" s="73">
        <f>IF(OR($B5="",$B5=0),"",(AD40*($R5*(1+'Property Summary'!$I$22)^(AE$75-1)))*$C5)</f>
        <v>0</v>
      </c>
      <c r="AF78" s="73">
        <f>IF(OR($B5="",$B5=0),"",(AE40*($R5*(1+'Property Summary'!$I$22)^(AF$75-1)))*$C5)</f>
        <v>0</v>
      </c>
      <c r="AG78" s="73">
        <f>IF(OR($B5="",$B5=0),"",(AF40*($R5*(1+'Property Summary'!$I$22)^(AG$75-1)))*$C5)</f>
        <v>0</v>
      </c>
      <c r="AH78" s="73">
        <f>IF(OR($B5="",$B5=0),"",(AG40*($R5*(1+'Property Summary'!$I$22)^(AH$75-1)))*$C5)</f>
        <v>0</v>
      </c>
      <c r="AI78" s="73">
        <f>IF(OR($B5="",$B5=0),"",(AH40*($R5*(1+'Property Summary'!$I$22)^(AI$75-1)))*$C5)</f>
        <v>0</v>
      </c>
      <c r="AJ78" s="73">
        <f>IF(OR($B5="",$B5=0),"",(AI40*($R5*(1+'Property Summary'!$I$22)^(AJ$75-1)))*$C5)</f>
        <v>0</v>
      </c>
      <c r="AK78" s="73">
        <f>IF(OR($B5="",$B5=0),"",(AJ40*($R5*(1+'Property Summary'!$I$22)^(AK$75-1)))*$C5)</f>
        <v>0</v>
      </c>
      <c r="AL78" s="73">
        <f>IF(OR($B5="",$B5=0),"",(AK40*($R5*(1+'Property Summary'!$I$22)^(AL$75-1)))*$C5)</f>
        <v>0</v>
      </c>
      <c r="AM78" s="73">
        <f>IF(OR($B5="",$B5=0),"",(AL40*($R5*(1+'Property Summary'!$I$22)^(AM$75-1)))*$C5)</f>
        <v>3735.4521599999998</v>
      </c>
      <c r="AN78" s="73">
        <f>IF(OR($B5="",$B5=0),"",(AM40*($R5*(1+'Property Summary'!$I$22)^(AN$75-1)))*$C5)</f>
        <v>0</v>
      </c>
      <c r="AO78" s="73">
        <f>IF(OR($B5="",$B5=0),"",(AN40*($R5*(1+'Property Summary'!$I$22)^(AO$75-1)))*$C5)</f>
        <v>0</v>
      </c>
      <c r="AP78" s="73">
        <f>IF(OR($B5="",$B5=0),"",(AO40*($R5*(1+'Property Summary'!$I$22)^(AP$75-1)))*$C5)</f>
        <v>0</v>
      </c>
      <c r="AQ78" s="73">
        <f>IF(OR($B5="",$B5=0),"",(AP40*($R5*(1+'Property Summary'!$I$22)^(AQ$75-1)))*$C5)</f>
        <v>0</v>
      </c>
      <c r="AR78" s="73">
        <f>IF(OR($B5="",$B5=0),"",(AQ40*($R5*(1+'Property Summary'!$I$22)^(AR$75-1)))*$C5)</f>
        <v>0</v>
      </c>
      <c r="AS78" s="73">
        <f>IF(OR($B5="",$B5=0),"",(AR40*($R5*(1+'Property Summary'!$I$22)^(AS$75-1)))*$C5)</f>
        <v>0</v>
      </c>
      <c r="AT78" s="73">
        <f>IF(OR($B5="",$B5=0),"",(AS40*($R5*(1+'Property Summary'!$I$22)^(AT$75-1)))*$C5)</f>
        <v>0</v>
      </c>
      <c r="AU78" s="73">
        <f>IF(OR($B5="",$B5=0),"",(AT40*($R5*(1+'Property Summary'!$I$22)^(AU$75-1)))*$C5)</f>
        <v>0</v>
      </c>
      <c r="AV78" s="73">
        <f>IF(OR($B5="",$B5=0),"",(AU40*($R5*(1+'Property Summary'!$I$22)^(AV$75-1)))*$C5)</f>
        <v>0</v>
      </c>
      <c r="AW78" s="73">
        <f>IF(OR($B5="",$B5=0),"",(AV40*($R5*(1+'Property Summary'!$I$22)^(AW$75-1)))*$C5)</f>
        <v>0</v>
      </c>
      <c r="AX78" s="73">
        <f>IF(OR($B5="",$B5=0),"",(AW40*($R5*(1+'Property Summary'!$I$22)^(AX$75-1)))*$C5)</f>
        <v>0</v>
      </c>
      <c r="AY78" s="73">
        <f>IF(OR($B5="",$B5=0),"",(AX40*($R5*(1+'Property Summary'!$I$22)^(AY$75-1)))*$C5)</f>
        <v>3810.1612031999998</v>
      </c>
      <c r="AZ78" s="73">
        <f>IF(OR($B5="",$B5=0),"",(AY40*($R5*(1+'Property Summary'!$I$22)^(AZ$75-1)))*$C5)</f>
        <v>0</v>
      </c>
      <c r="BA78" s="73">
        <f>IF(OR($B5="",$B5=0),"",(AZ40*($R5*(1+'Property Summary'!$I$22)^(BA$75-1)))*$C5)</f>
        <v>0</v>
      </c>
      <c r="BB78" s="73">
        <f>IF(OR($B5="",$B5=0),"",(BA40*($R5*(1+'Property Summary'!$I$22)^(BB$75-1)))*$C5)</f>
        <v>0</v>
      </c>
      <c r="BC78" s="73">
        <f>IF(OR($B5="",$B5=0),"",(BB40*($R5*(1+'Property Summary'!$I$22)^(BC$75-1)))*$C5)</f>
        <v>0</v>
      </c>
      <c r="BD78" s="73">
        <f>IF(OR($B5="",$B5=0),"",(BC40*($R5*(1+'Property Summary'!$I$22)^(BD$75-1)))*$C5)</f>
        <v>0</v>
      </c>
      <c r="BE78" s="73">
        <f>IF(OR($B5="",$B5=0),"",(BD40*($R5*(1+'Property Summary'!$I$22)^(BE$75-1)))*$C5)</f>
        <v>0</v>
      </c>
      <c r="BF78" s="73">
        <f>IF(OR($B5="",$B5=0),"",(BE40*($R5*(1+'Property Summary'!$I$22)^(BF$75-1)))*$C5)</f>
        <v>0</v>
      </c>
      <c r="BG78" s="73">
        <f>IF(OR($B5="",$B5=0),"",(BF40*($R5*(1+'Property Summary'!$I$22)^(BG$75-1)))*$C5)</f>
        <v>0</v>
      </c>
      <c r="BH78" s="73">
        <f>IF(OR($B5="",$B5=0),"",(BG40*($R5*(1+'Property Summary'!$I$22)^(BH$75-1)))*$C5)</f>
        <v>0</v>
      </c>
      <c r="BI78" s="73">
        <f>IF(OR($B5="",$B5=0),"",(BH40*($R5*(1+'Property Summary'!$I$22)^(BI$75-1)))*$C5)</f>
        <v>0</v>
      </c>
      <c r="BJ78" s="73">
        <f>IF(OR($B5="",$B5=0),"",(BI40*($R5*(1+'Property Summary'!$I$22)^(BJ$75-1)))*$C5)</f>
        <v>0</v>
      </c>
      <c r="BK78" s="73">
        <f>IF(OR($B5="",$B5=0),"",(BJ40*($R5*(1+'Property Summary'!$I$22)^(BK$75-1)))*$C5)</f>
        <v>3886.3644272640004</v>
      </c>
      <c r="BL78" s="73">
        <f>IF(OR($B5="",$B5=0),"",(BK40*($R5*(1+'Property Summary'!$I$22)^(BL$75-1)))*$C5)</f>
        <v>0</v>
      </c>
      <c r="BM78" s="73">
        <f>IF(OR($B5="",$B5=0),"",(BL40*($R5*(1+'Property Summary'!$I$22)^(BM$75-1)))*$C5)</f>
        <v>0</v>
      </c>
      <c r="BN78" s="73">
        <f>IF(OR($B5="",$B5=0),"",(BM40*($R5*(1+'Property Summary'!$I$22)^(BN$75-1)))*$C5)</f>
        <v>0</v>
      </c>
      <c r="BO78" s="73">
        <f>IF(OR($B5="",$B5=0),"",(BN40*($R5*(1+'Property Summary'!$I$22)^(BO$75-1)))*$C5)</f>
        <v>0</v>
      </c>
      <c r="BP78" s="73">
        <f>IF(OR($B5="",$B5=0),"",(BO40*($R5*(1+'Property Summary'!$I$22)^(BP$75-1)))*$C5)</f>
        <v>0</v>
      </c>
      <c r="BQ78" s="73">
        <f>IF(OR($B5="",$B5=0),"",(BP40*($R5*(1+'Property Summary'!$I$22)^(BQ$75-1)))*$C5)</f>
        <v>0</v>
      </c>
      <c r="BR78" s="73">
        <f>IF(OR($B5="",$B5=0),"",(BQ40*($R5*(1+'Property Summary'!$I$22)^(BR$75-1)))*$C5)</f>
        <v>0</v>
      </c>
      <c r="BS78" s="73">
        <f>IF(OR($B5="",$B5=0),"",(BR40*($R5*(1+'Property Summary'!$I$22)^(BS$75-1)))*$C5)</f>
        <v>0</v>
      </c>
      <c r="BT78" s="73">
        <f>IF(OR($B5="",$B5=0),"",(BS40*($R5*(1+'Property Summary'!$I$22)^(BT$75-1)))*$C5)</f>
        <v>0</v>
      </c>
      <c r="BU78" s="73">
        <f>IF(OR($B5="",$B5=0),"",(BT40*($R5*(1+'Property Summary'!$I$22)^(BU$75-1)))*$C5)</f>
        <v>0</v>
      </c>
      <c r="BV78" s="73">
        <f>IF(OR($B5="",$B5=0),"",(BU40*($R5*(1+'Property Summary'!$I$22)^(BV$75-1)))*$C5)</f>
        <v>0</v>
      </c>
      <c r="BW78" s="73">
        <f>IF(OR($B5="",$B5=0),"",(BV40*($R5*(1+'Property Summary'!$I$22)^(BW$75-1)))*$C5)</f>
        <v>3964.0917158092802</v>
      </c>
      <c r="BX78" s="73">
        <f>IF(OR($B5="",$B5=0),"",(BW40*($R5*(1+'Property Summary'!$I$22)^(BX$75-1)))*$C5)</f>
        <v>0</v>
      </c>
      <c r="BY78" s="73">
        <f>IF(OR($B5="",$B5=0),"",(BX40*($R5*(1+'Property Summary'!$I$22)^(BY$75-1)))*$C5)</f>
        <v>0</v>
      </c>
      <c r="BZ78" s="73">
        <f>IF(OR($B5="",$B5=0),"",(BY40*($R5*(1+'Property Summary'!$I$22)^(BZ$75-1)))*$C5)</f>
        <v>0</v>
      </c>
      <c r="CA78" s="73">
        <f>IF(OR($B5="",$B5=0),"",(BZ40*($R5*(1+'Property Summary'!$I$22)^(CA$75-1)))*$C5)</f>
        <v>0</v>
      </c>
      <c r="CB78" s="73">
        <f>IF(OR($B5="",$B5=0),"",(CA40*($R5*(1+'Property Summary'!$I$22)^(CB$75-1)))*$C5)</f>
        <v>0</v>
      </c>
      <c r="CC78" s="73">
        <f>IF(OR($B5="",$B5=0),"",(CB40*($R5*(1+'Property Summary'!$I$22)^(CC$75-1)))*$C5)</f>
        <v>0</v>
      </c>
      <c r="CD78" s="73">
        <f>IF(OR($B5="",$B5=0),"",(CC40*($R5*(1+'Property Summary'!$I$22)^(CD$75-1)))*$C5)</f>
        <v>0</v>
      </c>
      <c r="CE78" s="73">
        <f>IF(OR($B5="",$B5=0),"",(CD40*($R5*(1+'Property Summary'!$I$22)^(CE$75-1)))*$C5)</f>
        <v>0</v>
      </c>
      <c r="CF78" s="73">
        <f>IF(OR($B5="",$B5=0),"",(CE40*($R5*(1+'Property Summary'!$I$22)^(CF$75-1)))*$C5)</f>
        <v>0</v>
      </c>
      <c r="CG78" s="73">
        <f>IF(OR($B5="",$B5=0),"",(CF40*($R5*(1+'Property Summary'!$I$22)^(CG$75-1)))*$C5)</f>
        <v>0</v>
      </c>
      <c r="CH78" s="73">
        <f>IF(OR($B5="",$B5=0),"",(CG40*($R5*(1+'Property Summary'!$I$22)^(CH$75-1)))*$C5)</f>
        <v>0</v>
      </c>
      <c r="CI78" s="73">
        <f>IF(OR($B5="",$B5=0),"",(CH40*($R5*(1+'Property Summary'!$I$22)^(CI$75-1)))*$C5)</f>
        <v>4043.373550125465</v>
      </c>
      <c r="CJ78" s="73">
        <f>IF(OR($B5="",$B5=0),"",(CI40*($R5*(1+'Property Summary'!$I$22)^(CJ$75-1)))*$C5)</f>
        <v>0</v>
      </c>
      <c r="CK78" s="73">
        <f>IF(OR($B5="",$B5=0),"",(CJ40*($R5*(1+'Property Summary'!$I$22)^(CK$75-1)))*$C5)</f>
        <v>0</v>
      </c>
      <c r="CL78" s="73">
        <f>IF(OR($B5="",$B5=0),"",(CK40*($R5*(1+'Property Summary'!$I$22)^(CL$75-1)))*$C5)</f>
        <v>0</v>
      </c>
      <c r="CM78" s="73">
        <f>IF(OR($B5="",$B5=0),"",(CL40*($R5*(1+'Property Summary'!$I$22)^(CM$75-1)))*$C5)</f>
        <v>0</v>
      </c>
      <c r="CN78" s="73">
        <f>IF(OR($B5="",$B5=0),"",(CM40*($R5*(1+'Property Summary'!$I$22)^(CN$75-1)))*$C5)</f>
        <v>0</v>
      </c>
      <c r="CO78" s="73">
        <f>IF(OR($B5="",$B5=0),"",(CN40*($R5*(1+'Property Summary'!$I$22)^(CO$75-1)))*$C5)</f>
        <v>0</v>
      </c>
      <c r="CP78" s="73">
        <f>IF(OR($B5="",$B5=0),"",(CO40*($R5*(1+'Property Summary'!$I$22)^(CP$75-1)))*$C5)</f>
        <v>0</v>
      </c>
      <c r="CQ78" s="73">
        <f>IF(OR($B5="",$B5=0),"",(CP40*($R5*(1+'Property Summary'!$I$22)^(CQ$75-1)))*$C5)</f>
        <v>0</v>
      </c>
      <c r="CR78" s="73">
        <f>IF(OR($B5="",$B5=0),"",(CQ40*($R5*(1+'Property Summary'!$I$22)^(CR$75-1)))*$C5)</f>
        <v>0</v>
      </c>
      <c r="CS78" s="73">
        <f>IF(OR($B5="",$B5=0),"",(CR40*($R5*(1+'Property Summary'!$I$22)^(CS$75-1)))*$C5)</f>
        <v>0</v>
      </c>
      <c r="CT78" s="73">
        <f>IF(OR($B5="",$B5=0),"",(CS40*($R5*(1+'Property Summary'!$I$22)^(CT$75-1)))*$C5)</f>
        <v>0</v>
      </c>
      <c r="CU78" s="73">
        <f>IF(OR($B5="",$B5=0),"",(CT40*($R5*(1+'Property Summary'!$I$22)^(CU$75-1)))*$C5)</f>
        <v>4124.2410211279748</v>
      </c>
      <c r="CV78" s="73">
        <f>IF(OR($B5="",$B5=0),"",(CU40*($R5*(1+'Property Summary'!$I$22)^(CV$75-1)))*$C5)</f>
        <v>0</v>
      </c>
      <c r="CW78" s="73">
        <f>IF(OR($B5="",$B5=0),"",(CV40*($R5*(1+'Property Summary'!$I$22)^(CW$75-1)))*$C5)</f>
        <v>0</v>
      </c>
      <c r="CX78" s="73">
        <f>IF(OR($B5="",$B5=0),"",(CW40*($R5*(1+'Property Summary'!$I$22)^(CX$75-1)))*$C5)</f>
        <v>0</v>
      </c>
      <c r="CY78" s="73">
        <f>IF(OR($B5="",$B5=0),"",(CX40*($R5*(1+'Property Summary'!$I$22)^(CY$75-1)))*$C5)</f>
        <v>0</v>
      </c>
      <c r="CZ78" s="73">
        <f>IF(OR($B5="",$B5=0),"",(CY40*($R5*(1+'Property Summary'!$I$22)^(CZ$75-1)))*$C5)</f>
        <v>0</v>
      </c>
      <c r="DA78" s="73">
        <f>IF(OR($B5="",$B5=0),"",(CZ40*($R5*(1+'Property Summary'!$I$22)^(DA$75-1)))*$C5)</f>
        <v>0</v>
      </c>
      <c r="DB78" s="73">
        <f>IF(OR($B5="",$B5=0),"",(DA40*($R5*(1+'Property Summary'!$I$22)^(DB$75-1)))*$C5)</f>
        <v>0</v>
      </c>
      <c r="DC78" s="73">
        <f>IF(OR($B5="",$B5=0),"",(DB40*($R5*(1+'Property Summary'!$I$22)^(DC$75-1)))*$C5)</f>
        <v>0</v>
      </c>
      <c r="DD78" s="73">
        <f>IF(OR($B5="",$B5=0),"",(DC40*($R5*(1+'Property Summary'!$I$22)^(DD$75-1)))*$C5)</f>
        <v>0</v>
      </c>
      <c r="DE78" s="73">
        <f>IF(OR($B5="",$B5=0),"",(DD40*($R5*(1+'Property Summary'!$I$22)^(DE$75-1)))*$C5)</f>
        <v>0</v>
      </c>
      <c r="DF78" s="73">
        <f>IF(OR($B5="",$B5=0),"",(DE40*($R5*(1+'Property Summary'!$I$22)^(DF$75-1)))*$C5)</f>
        <v>0</v>
      </c>
      <c r="DG78" s="73">
        <f>IF(OR($B5="",$B5=0),"",(DF40*($R5*(1+'Property Summary'!$I$22)^(DG$75-1)))*$C5)</f>
        <v>4206.7258415505339</v>
      </c>
      <c r="DH78" s="73">
        <f>IF(OR($B5="",$B5=0),"",(DG40*($R5*(1+'Property Summary'!$I$22)^(DH$75-1)))*$C5)</f>
        <v>0</v>
      </c>
      <c r="DI78" s="73">
        <f>IF(OR($B5="",$B5=0),"",(DH40*($R5*(1+'Property Summary'!$I$22)^(DI$75-1)))*$C5)</f>
        <v>0</v>
      </c>
      <c r="DJ78" s="73">
        <f>IF(OR($B5="",$B5=0),"",(DI40*($R5*(1+'Property Summary'!$I$22)^(DJ$75-1)))*$C5)</f>
        <v>0</v>
      </c>
      <c r="DK78" s="73">
        <f>IF(OR($B5="",$B5=0),"",(DJ40*($R5*(1+'Property Summary'!$I$22)^(DK$75-1)))*$C5)</f>
        <v>0</v>
      </c>
      <c r="DL78" s="73">
        <f>IF(OR($B5="",$B5=0),"",(DK40*($R5*(1+'Property Summary'!$I$22)^(DL$75-1)))*$C5)</f>
        <v>0</v>
      </c>
      <c r="DM78" s="73">
        <f>IF(OR($B5="",$B5=0),"",(DL40*($R5*(1+'Property Summary'!$I$22)^(DM$75-1)))*$C5)</f>
        <v>0</v>
      </c>
      <c r="DN78" s="73">
        <f>IF(OR($B5="",$B5=0),"",(DM40*($R5*(1+'Property Summary'!$I$22)^(DN$75-1)))*$C5)</f>
        <v>0</v>
      </c>
      <c r="DO78" s="73">
        <f>IF(OR($B5="",$B5=0),"",(DN40*($R5*(1+'Property Summary'!$I$22)^(DO$75-1)))*$C5)</f>
        <v>0</v>
      </c>
      <c r="DP78" s="73">
        <f>IF(OR($B5="",$B5=0),"",(DO40*($R5*(1+'Property Summary'!$I$22)^(DP$75-1)))*$C5)</f>
        <v>0</v>
      </c>
      <c r="DQ78" s="73">
        <f>IF(OR($B5="",$B5=0),"",(DP40*($R5*(1+'Property Summary'!$I$22)^(DQ$75-1)))*$C5)</f>
        <v>0</v>
      </c>
      <c r="DR78" s="73">
        <f>IF(OR($B5="",$B5=0),"",(DQ40*($R5*(1+'Property Summary'!$I$22)^(DR$75-1)))*$C5)</f>
        <v>0</v>
      </c>
      <c r="DS78" s="73">
        <f>IF(OR($B5="",$B5=0),"",(DR40*($R5*(1+'Property Summary'!$I$22)^(DS$75-1)))*$C5)</f>
        <v>4290.8603583815457</v>
      </c>
      <c r="DT78" s="73">
        <f>IF(OR($B5="",$B5=0),"",(DS40*($R5*(1+'Property Summary'!$I$22)^(DT$75-1)))*$C5)</f>
        <v>0</v>
      </c>
      <c r="DU78" s="73">
        <f>IF(OR($B5="",$B5=0),"",(DT40*($R5*(1+'Property Summary'!$I$22)^(DU$75-1)))*$C5)</f>
        <v>0</v>
      </c>
      <c r="DV78" s="73">
        <f>IF(OR($B5="",$B5=0),"",(DU40*($R5*(1+'Property Summary'!$I$22)^(DV$75-1)))*$C5)</f>
        <v>0</v>
      </c>
      <c r="DW78" s="73">
        <f>IF(OR($B5="",$B5=0),"",(DV40*($R5*(1+'Property Summary'!$I$22)^(DW$75-1)))*$C5)</f>
        <v>0</v>
      </c>
      <c r="DX78" s="73">
        <f>IF(OR($B5="",$B5=0),"",(DW40*($R5*(1+'Property Summary'!$I$22)^(DX$75-1)))*$C5)</f>
        <v>0</v>
      </c>
      <c r="DY78" s="73">
        <f>IF(OR($B5="",$B5=0),"",(DX40*($R5*(1+'Property Summary'!$I$22)^(DY$75-1)))*$C5)</f>
        <v>0</v>
      </c>
      <c r="DZ78" s="73">
        <f>IF(OR($B5="",$B5=0),"",(DY40*($R5*(1+'Property Summary'!$I$22)^(DZ$75-1)))*$C5)</f>
        <v>0</v>
      </c>
      <c r="EA78" s="73">
        <f>IF(OR($B5="",$B5=0),"",(DZ40*($R5*(1+'Property Summary'!$I$22)^(EA$75-1)))*$C5)</f>
        <v>0</v>
      </c>
      <c r="EB78" s="73">
        <f>IF(OR($B5="",$B5=0),"",(EA40*($R5*(1+'Property Summary'!$I$22)^(EB$75-1)))*$C5)</f>
        <v>0</v>
      </c>
      <c r="EC78" s="73">
        <f>IF(OR($B5="",$B5=0),"",(EB40*($R5*(1+'Property Summary'!$I$22)^(EC$75-1)))*$C5)</f>
        <v>0</v>
      </c>
      <c r="ED78" s="73">
        <f>IF(OR($B5="",$B5=0),"",(EC40*($R5*(1+'Property Summary'!$I$22)^(ED$75-1)))*$C5)</f>
        <v>0</v>
      </c>
      <c r="EE78" s="73">
        <f>IF(OR($B5="",$B5=0),"",(ED40*($R5*(1+'Property Summary'!$I$22)^(EE$75-1)))*$C5)</f>
        <v>4376.6775655491756</v>
      </c>
      <c r="EF78" s="73">
        <f>IF(OR($B5="",$B5=0),"",(EE40*($R5*(1+'Property Summary'!$I$22)^(EF$75-1)))*$C5)</f>
        <v>0</v>
      </c>
      <c r="EG78" s="73">
        <f>IF(OR($B5="",$B5=0),"",(EF40*($R5*(1+'Property Summary'!$I$22)^(EG$75-1)))*$C5)</f>
        <v>0</v>
      </c>
      <c r="EH78" s="73">
        <f>IF(OR($B5="",$B5=0),"",(EG40*($R5*(1+'Property Summary'!$I$22)^(EH$75-1)))*$C5)</f>
        <v>0</v>
      </c>
      <c r="EI78" s="73">
        <f>IF(OR($B5="",$B5=0),"",(EH40*($R5*(1+'Property Summary'!$I$22)^(EI$75-1)))*$C5)</f>
        <v>0</v>
      </c>
      <c r="EJ78" s="73">
        <f>IF(OR($B5="",$B5=0),"",(EI40*($R5*(1+'Property Summary'!$I$22)^(EJ$75-1)))*$C5)</f>
        <v>0</v>
      </c>
      <c r="EK78" s="73">
        <f>IF(OR($B5="",$B5=0),"",(EJ40*($R5*(1+'Property Summary'!$I$22)^(EK$75-1)))*$C5)</f>
        <v>0</v>
      </c>
      <c r="EL78" s="73">
        <f>IF(OR($B5="",$B5=0),"",(EK40*($R5*(1+'Property Summary'!$I$22)^(EL$75-1)))*$C5)</f>
        <v>0</v>
      </c>
      <c r="EM78" s="73">
        <f>IF(OR($B5="",$B5=0),"",(EL40*($R5*(1+'Property Summary'!$I$22)^(EM$75-1)))*$C5)</f>
        <v>0</v>
      </c>
      <c r="EN78" s="73">
        <f>IF(OR($B5="",$B5=0),"",(EM40*($R5*(1+'Property Summary'!$I$22)^(EN$75-1)))*$C5)</f>
        <v>0</v>
      </c>
      <c r="EO78" s="73">
        <f>IF(OR($B5="",$B5=0),"",(EN40*($R5*(1+'Property Summary'!$I$22)^(EO$75-1)))*$C5)</f>
        <v>0</v>
      </c>
      <c r="EP78" s="73">
        <f>IF(OR($B5="",$B5=0),"",(EO40*($R5*(1+'Property Summary'!$I$22)^(EP$75-1)))*$C5)</f>
        <v>0</v>
      </c>
      <c r="EQ78" s="73">
        <f>IF(OR($B5="",$B5=0),"",(EP40*($R5*(1+'Property Summary'!$I$22)^(EQ$75-1)))*$C5)</f>
        <v>4464.2111168601596</v>
      </c>
      <c r="ER78" s="73">
        <f>IF(OR($B5="",$B5=0),"",(EQ40*($R5*(1+'Property Summary'!$I$22)^(ER$75-1)))*$C5)</f>
        <v>0</v>
      </c>
      <c r="ES78" s="73">
        <f>IF(OR($B5="",$B5=0),"",(ER40*($R5*(1+'Property Summary'!$I$22)^(ES$75-1)))*$C5)</f>
        <v>0</v>
      </c>
      <c r="ET78" s="73">
        <f>IF(OR($B5="",$B5=0),"",(ES40*($R5*(1+'Property Summary'!$I$22)^(ET$75-1)))*$C5)</f>
        <v>0</v>
      </c>
      <c r="EU78" s="73">
        <f>IF(OR($B5="",$B5=0),"",(ET40*($R5*(1+'Property Summary'!$I$22)^(EU$75-1)))*$C5)</f>
        <v>0</v>
      </c>
      <c r="EV78" s="73">
        <f>IF(OR($B5="",$B5=0),"",(EU40*($R5*(1+'Property Summary'!$I$22)^(EV$75-1)))*$C5)</f>
        <v>0</v>
      </c>
      <c r="EW78" s="73">
        <f>IF(OR($B5="",$B5=0),"",(EV40*($R5*(1+'Property Summary'!$I$22)^(EW$75-1)))*$C5)</f>
        <v>0</v>
      </c>
      <c r="EX78" s="73">
        <f>IF(OR($B5="",$B5=0),"",(EW40*($R5*(1+'Property Summary'!$I$22)^(EX$75-1)))*$C5)</f>
        <v>0</v>
      </c>
      <c r="EY78" s="73">
        <f>IF(OR($B5="",$B5=0),"",(EX40*($R5*(1+'Property Summary'!$I$22)^(EY$75-1)))*$C5)</f>
        <v>0</v>
      </c>
      <c r="EZ78" s="73">
        <f>IF(OR($B5="",$B5=0),"",(EY40*($R5*(1+'Property Summary'!$I$22)^(EZ$75-1)))*$C5)</f>
        <v>0</v>
      </c>
      <c r="FA78" s="73">
        <f>IF(OR($B5="",$B5=0),"",(EZ40*($R5*(1+'Property Summary'!$I$22)^(FA$75-1)))*$C5)</f>
        <v>0</v>
      </c>
      <c r="FB78" s="73">
        <f>IF(OR($B5="",$B5=0),"",(FA40*($R5*(1+'Property Summary'!$I$22)^(FB$75-1)))*$C5)</f>
        <v>0</v>
      </c>
      <c r="FC78" s="73">
        <f>IF(OR($B5="",$B5=0),"",(FB40*($R5*(1+'Property Summary'!$I$22)^(FC$75-1)))*$C5)</f>
        <v>4553.4953391973622</v>
      </c>
      <c r="FD78" s="73">
        <f>IF(OR($B5="",$B5=0),"",(FC40*($R5*(1+'Property Summary'!$I$22)^(FD$75-1)))*$C5)</f>
        <v>0</v>
      </c>
      <c r="FE78" s="73">
        <f>IF(OR($B5="",$B5=0),"",(FD40*($R5*(1+'Property Summary'!$I$22)^(FE$75-1)))*$C5)</f>
        <v>0</v>
      </c>
      <c r="FF78" s="73">
        <f>IF(OR($B5="",$B5=0),"",(FE40*($R5*(1+'Property Summary'!$I$22)^(FF$75-1)))*$C5)</f>
        <v>0</v>
      </c>
      <c r="FG78" s="73">
        <f>IF(OR($B5="",$B5=0),"",(FF40*($R5*(1+'Property Summary'!$I$22)^(FG$75-1)))*$C5)</f>
        <v>0</v>
      </c>
      <c r="FH78" s="73">
        <f>IF(OR($B5="",$B5=0),"",(FG40*($R5*(1+'Property Summary'!$I$22)^(FH$75-1)))*$C5)</f>
        <v>0</v>
      </c>
      <c r="FI78" s="73">
        <f>IF(OR($B5="",$B5=0),"",(FH40*($R5*(1+'Property Summary'!$I$22)^(FI$75-1)))*$C5)</f>
        <v>0</v>
      </c>
      <c r="FJ78" s="73">
        <f>IF(OR($B5="",$B5=0),"",(FI40*($R5*(1+'Property Summary'!$I$22)^(FJ$75-1)))*$C5)</f>
        <v>0</v>
      </c>
      <c r="FK78" s="73">
        <f>IF(OR($B5="",$B5=0),"",(FJ40*($R5*(1+'Property Summary'!$I$22)^(FK$75-1)))*$C5)</f>
        <v>0</v>
      </c>
      <c r="FL78" s="73">
        <f>IF(OR($B5="",$B5=0),"",(FK40*($R5*(1+'Property Summary'!$I$22)^(FL$75-1)))*$C5)</f>
        <v>0</v>
      </c>
      <c r="FM78" s="73">
        <f>IF(OR($B5="",$B5=0),"",(FL40*($R5*(1+'Property Summary'!$I$22)^(FM$75-1)))*$C5)</f>
        <v>0</v>
      </c>
      <c r="FN78" s="73">
        <f>IF(OR($B5="",$B5=0),"",(FM40*($R5*(1+'Property Summary'!$I$22)^(FN$75-1)))*$C5)</f>
        <v>0</v>
      </c>
      <c r="FO78" s="73">
        <f>IF(OR($B5="",$B5=0),"",(FN40*($R5*(1+'Property Summary'!$I$22)^(FO$75-1)))*$C5)</f>
        <v>4644.56524598131</v>
      </c>
      <c r="FP78" s="73">
        <f>IF(OR($B5="",$B5=0),"",(FO40*($R5*(1+'Property Summary'!$I$22)^(FP$75-1)))*$C5)</f>
        <v>0</v>
      </c>
      <c r="FQ78" s="73">
        <f>IF(OR($B5="",$B5=0),"",(FP40*($R5*(1+'Property Summary'!$I$22)^(FQ$75-1)))*$C5)</f>
        <v>0</v>
      </c>
      <c r="FR78" s="73">
        <f>IF(OR($B5="",$B5=0),"",(FQ40*($R5*(1+'Property Summary'!$I$22)^(FR$75-1)))*$C5)</f>
        <v>0</v>
      </c>
      <c r="FS78" s="73">
        <f>IF(OR($B5="",$B5=0),"",(FR40*($R5*(1+'Property Summary'!$I$22)^(FS$75-1)))*$C5)</f>
        <v>0</v>
      </c>
      <c r="FT78" s="73">
        <f>IF(OR($B5="",$B5=0),"",(FS40*($R5*(1+'Property Summary'!$I$22)^(FT$75-1)))*$C5)</f>
        <v>0</v>
      </c>
      <c r="FU78" s="73">
        <f>IF(OR($B5="",$B5=0),"",(FT40*($R5*(1+'Property Summary'!$I$22)^(FU$75-1)))*$C5)</f>
        <v>0</v>
      </c>
      <c r="FV78" s="73">
        <f>IF(OR($B5="",$B5=0),"",(FU40*($R5*(1+'Property Summary'!$I$22)^(FV$75-1)))*$C5)</f>
        <v>0</v>
      </c>
      <c r="FW78" s="73">
        <f>IF(OR($B5="",$B5=0),"",(FV40*($R5*(1+'Property Summary'!$I$22)^(FW$75-1)))*$C5)</f>
        <v>0</v>
      </c>
      <c r="FX78" s="73">
        <f>IF(OR($B5="",$B5=0),"",(FW40*($R5*(1+'Property Summary'!$I$22)^(FX$75-1)))*$C5)</f>
        <v>0</v>
      </c>
      <c r="FY78" s="73">
        <f>IF(OR($B5="",$B5=0),"",(FX40*($R5*(1+'Property Summary'!$I$22)^(FY$75-1)))*$C5)</f>
        <v>0</v>
      </c>
      <c r="FZ78" s="86">
        <f>IF(OR($B5="",$B5=0),"",(FY40*($R5*(1+'Property Summary'!$I$22)^(FZ$75-1)))*$C5)</f>
        <v>0</v>
      </c>
    </row>
    <row r="79" spans="2:182" x14ac:dyDescent="0.2">
      <c r="B79" s="85"/>
      <c r="C79" s="73">
        <f>IF(OR($B6="",$B6=0),"",(B41*($R6*(1+'Property Summary'!$I$22)^(C$75-1)))*$C6)</f>
        <v>0</v>
      </c>
      <c r="D79" s="73">
        <f>IF(OR($B6="",$B6=0),"",(C41*($R6*(1+'Property Summary'!$I$22)^(D$75-1)))*$C6)</f>
        <v>0</v>
      </c>
      <c r="E79" s="73">
        <f>IF(OR($B6="",$B6=0),"",(D41*($R6*(1+'Property Summary'!$I$22)^(E$75-1)))*$C6)</f>
        <v>0</v>
      </c>
      <c r="F79" s="73">
        <f>IF(OR($B6="",$B6=0),"",(E41*($R6*(1+'Property Summary'!$I$22)^(F$75-1)))*$C6)</f>
        <v>0</v>
      </c>
      <c r="G79" s="73">
        <f>IF(OR($B6="",$B6=0),"",(F41*($R6*(1+'Property Summary'!$I$22)^(G$75-1)))*$C6)</f>
        <v>0</v>
      </c>
      <c r="H79" s="73">
        <f>IF(OR($B6="",$B6=0),"",(G41*($R6*(1+'Property Summary'!$I$22)^(H$75-1)))*$C6)</f>
        <v>0</v>
      </c>
      <c r="I79" s="73">
        <f>IF(OR($B6="",$B6=0),"",(H41*($R6*(1+'Property Summary'!$I$22)^(I$75-1)))*$C6)</f>
        <v>0</v>
      </c>
      <c r="J79" s="73">
        <f>IF(OR($B6="",$B6=0),"",(I41*($R6*(1+'Property Summary'!$I$22)^(J$75-1)))*$C6)</f>
        <v>0</v>
      </c>
      <c r="K79" s="73">
        <f>IF(OR($B6="",$B6=0),"",(J41*($R6*(1+'Property Summary'!$I$22)^(K$75-1)))*$C6)</f>
        <v>0</v>
      </c>
      <c r="L79" s="73">
        <f>IF(OR($B6="",$B6=0),"",(K41*($R6*(1+'Property Summary'!$I$22)^(L$75-1)))*$C6)</f>
        <v>0</v>
      </c>
      <c r="M79" s="73">
        <f>IF(OR($B6="",$B6=0),"",(L41*($R6*(1+'Property Summary'!$I$22)^(M$75-1)))*$C6)</f>
        <v>0</v>
      </c>
      <c r="N79" s="73">
        <f>IF(OR($B6="",$B6=0),"",(M41*($R6*(1+'Property Summary'!$I$22)^(N$75-1)))*$C6)</f>
        <v>0</v>
      </c>
      <c r="O79" s="73">
        <f>IF(OR($B6="",$B6=0),"",(N41*($R6*(1+'Property Summary'!$I$22)^(O$75-1)))*$C6)</f>
        <v>3916.7999999999997</v>
      </c>
      <c r="P79" s="73">
        <f>IF(OR($B6="",$B6=0),"",(O41*($R6*(1+'Property Summary'!$I$22)^(P$75-1)))*$C6)</f>
        <v>0</v>
      </c>
      <c r="Q79" s="73">
        <f>IF(OR($B6="",$B6=0),"",(P41*($R6*(1+'Property Summary'!$I$22)^(Q$75-1)))*$C6)</f>
        <v>0</v>
      </c>
      <c r="R79" s="73">
        <f>IF(OR($B6="",$B6=0),"",(Q41*($R6*(1+'Property Summary'!$I$22)^(R$75-1)))*$C6)</f>
        <v>0</v>
      </c>
      <c r="S79" s="73">
        <f>IF(OR($B6="",$B6=0),"",(R41*($R6*(1+'Property Summary'!$I$22)^(S$75-1)))*$C6)</f>
        <v>0</v>
      </c>
      <c r="T79" s="73">
        <f>IF(OR($B6="",$B6=0),"",(S41*($R6*(1+'Property Summary'!$I$22)^(T$75-1)))*$C6)</f>
        <v>0</v>
      </c>
      <c r="U79" s="73">
        <f>IF(OR($B6="",$B6=0),"",(T41*($R6*(1+'Property Summary'!$I$22)^(U$75-1)))*$C6)</f>
        <v>0</v>
      </c>
      <c r="V79" s="73">
        <f>IF(OR($B6="",$B6=0),"",(U41*($R6*(1+'Property Summary'!$I$22)^(V$75-1)))*$C6)</f>
        <v>0</v>
      </c>
      <c r="W79" s="73">
        <f>IF(OR($B6="",$B6=0),"",(V41*($R6*(1+'Property Summary'!$I$22)^(W$75-1)))*$C6)</f>
        <v>0</v>
      </c>
      <c r="X79" s="73">
        <f>IF(OR($B6="",$B6=0),"",(W41*($R6*(1+'Property Summary'!$I$22)^(X$75-1)))*$C6)</f>
        <v>0</v>
      </c>
      <c r="Y79" s="73">
        <f>IF(OR($B6="",$B6=0),"",(X41*($R6*(1+'Property Summary'!$I$22)^(Y$75-1)))*$C6)</f>
        <v>0</v>
      </c>
      <c r="Z79" s="73">
        <f>IF(OR($B6="",$B6=0),"",(Y41*($R6*(1+'Property Summary'!$I$22)^(Z$75-1)))*$C6)</f>
        <v>0</v>
      </c>
      <c r="AA79" s="73">
        <f>IF(OR($B6="",$B6=0),"",(Z41*($R6*(1+'Property Summary'!$I$22)^(AA$75-1)))*$C6)</f>
        <v>3995.136</v>
      </c>
      <c r="AB79" s="73">
        <f>IF(OR($B6="",$B6=0),"",(AA41*($R6*(1+'Property Summary'!$I$22)^(AB$75-1)))*$C6)</f>
        <v>0</v>
      </c>
      <c r="AC79" s="73">
        <f>IF(OR($B6="",$B6=0),"",(AB41*($R6*(1+'Property Summary'!$I$22)^(AC$75-1)))*$C6)</f>
        <v>0</v>
      </c>
      <c r="AD79" s="73">
        <f>IF(OR($B6="",$B6=0),"",(AC41*($R6*(1+'Property Summary'!$I$22)^(AD$75-1)))*$C6)</f>
        <v>0</v>
      </c>
      <c r="AE79" s="73">
        <f>IF(OR($B6="",$B6=0),"",(AD41*($R6*(1+'Property Summary'!$I$22)^(AE$75-1)))*$C6)</f>
        <v>0</v>
      </c>
      <c r="AF79" s="73">
        <f>IF(OR($B6="",$B6=0),"",(AE41*($R6*(1+'Property Summary'!$I$22)^(AF$75-1)))*$C6)</f>
        <v>0</v>
      </c>
      <c r="AG79" s="73">
        <f>IF(OR($B6="",$B6=0),"",(AF41*($R6*(1+'Property Summary'!$I$22)^(AG$75-1)))*$C6)</f>
        <v>0</v>
      </c>
      <c r="AH79" s="73">
        <f>IF(OR($B6="",$B6=0),"",(AG41*($R6*(1+'Property Summary'!$I$22)^(AH$75-1)))*$C6)</f>
        <v>0</v>
      </c>
      <c r="AI79" s="73">
        <f>IF(OR($B6="",$B6=0),"",(AH41*($R6*(1+'Property Summary'!$I$22)^(AI$75-1)))*$C6)</f>
        <v>0</v>
      </c>
      <c r="AJ79" s="73">
        <f>IF(OR($B6="",$B6=0),"",(AI41*($R6*(1+'Property Summary'!$I$22)^(AJ$75-1)))*$C6)</f>
        <v>0</v>
      </c>
      <c r="AK79" s="73">
        <f>IF(OR($B6="",$B6=0),"",(AJ41*($R6*(1+'Property Summary'!$I$22)^(AK$75-1)))*$C6)</f>
        <v>0</v>
      </c>
      <c r="AL79" s="73">
        <f>IF(OR($B6="",$B6=0),"",(AK41*($R6*(1+'Property Summary'!$I$22)^(AL$75-1)))*$C6)</f>
        <v>0</v>
      </c>
      <c r="AM79" s="73">
        <f>IF(OR($B6="",$B6=0),"",(AL41*($R6*(1+'Property Summary'!$I$22)^(AM$75-1)))*$C6)</f>
        <v>4075.0387199999996</v>
      </c>
      <c r="AN79" s="73">
        <f>IF(OR($B6="",$B6=0),"",(AM41*($R6*(1+'Property Summary'!$I$22)^(AN$75-1)))*$C6)</f>
        <v>0</v>
      </c>
      <c r="AO79" s="73">
        <f>IF(OR($B6="",$B6=0),"",(AN41*($R6*(1+'Property Summary'!$I$22)^(AO$75-1)))*$C6)</f>
        <v>0</v>
      </c>
      <c r="AP79" s="73">
        <f>IF(OR($B6="",$B6=0),"",(AO41*($R6*(1+'Property Summary'!$I$22)^(AP$75-1)))*$C6)</f>
        <v>0</v>
      </c>
      <c r="AQ79" s="73">
        <f>IF(OR($B6="",$B6=0),"",(AP41*($R6*(1+'Property Summary'!$I$22)^(AQ$75-1)))*$C6)</f>
        <v>0</v>
      </c>
      <c r="AR79" s="73">
        <f>IF(OR($B6="",$B6=0),"",(AQ41*($R6*(1+'Property Summary'!$I$22)^(AR$75-1)))*$C6)</f>
        <v>0</v>
      </c>
      <c r="AS79" s="73">
        <f>IF(OR($B6="",$B6=0),"",(AR41*($R6*(1+'Property Summary'!$I$22)^(AS$75-1)))*$C6)</f>
        <v>0</v>
      </c>
      <c r="AT79" s="73">
        <f>IF(OR($B6="",$B6=0),"",(AS41*($R6*(1+'Property Summary'!$I$22)^(AT$75-1)))*$C6)</f>
        <v>0</v>
      </c>
      <c r="AU79" s="73">
        <f>IF(OR($B6="",$B6=0),"",(AT41*($R6*(1+'Property Summary'!$I$22)^(AU$75-1)))*$C6)</f>
        <v>0</v>
      </c>
      <c r="AV79" s="73">
        <f>IF(OR($B6="",$B6=0),"",(AU41*($R6*(1+'Property Summary'!$I$22)^(AV$75-1)))*$C6)</f>
        <v>0</v>
      </c>
      <c r="AW79" s="73">
        <f>IF(OR($B6="",$B6=0),"",(AV41*($R6*(1+'Property Summary'!$I$22)^(AW$75-1)))*$C6)</f>
        <v>0</v>
      </c>
      <c r="AX79" s="73">
        <f>IF(OR($B6="",$B6=0),"",(AW41*($R6*(1+'Property Summary'!$I$22)^(AX$75-1)))*$C6)</f>
        <v>0</v>
      </c>
      <c r="AY79" s="73">
        <f>IF(OR($B6="",$B6=0),"",(AX41*($R6*(1+'Property Summary'!$I$22)^(AY$75-1)))*$C6)</f>
        <v>4156.5394944</v>
      </c>
      <c r="AZ79" s="73">
        <f>IF(OR($B6="",$B6=0),"",(AY41*($R6*(1+'Property Summary'!$I$22)^(AZ$75-1)))*$C6)</f>
        <v>0</v>
      </c>
      <c r="BA79" s="73">
        <f>IF(OR($B6="",$B6=0),"",(AZ41*($R6*(1+'Property Summary'!$I$22)^(BA$75-1)))*$C6)</f>
        <v>0</v>
      </c>
      <c r="BB79" s="73">
        <f>IF(OR($B6="",$B6=0),"",(BA41*($R6*(1+'Property Summary'!$I$22)^(BB$75-1)))*$C6)</f>
        <v>0</v>
      </c>
      <c r="BC79" s="73">
        <f>IF(OR($B6="",$B6=0),"",(BB41*($R6*(1+'Property Summary'!$I$22)^(BC$75-1)))*$C6)</f>
        <v>0</v>
      </c>
      <c r="BD79" s="73">
        <f>IF(OR($B6="",$B6=0),"",(BC41*($R6*(1+'Property Summary'!$I$22)^(BD$75-1)))*$C6)</f>
        <v>0</v>
      </c>
      <c r="BE79" s="73">
        <f>IF(OR($B6="",$B6=0),"",(BD41*($R6*(1+'Property Summary'!$I$22)^(BE$75-1)))*$C6)</f>
        <v>0</v>
      </c>
      <c r="BF79" s="73">
        <f>IF(OR($B6="",$B6=0),"",(BE41*($R6*(1+'Property Summary'!$I$22)^(BF$75-1)))*$C6)</f>
        <v>0</v>
      </c>
      <c r="BG79" s="73">
        <f>IF(OR($B6="",$B6=0),"",(BF41*($R6*(1+'Property Summary'!$I$22)^(BG$75-1)))*$C6)</f>
        <v>0</v>
      </c>
      <c r="BH79" s="73">
        <f>IF(OR($B6="",$B6=0),"",(BG41*($R6*(1+'Property Summary'!$I$22)^(BH$75-1)))*$C6)</f>
        <v>0</v>
      </c>
      <c r="BI79" s="73">
        <f>IF(OR($B6="",$B6=0),"",(BH41*($R6*(1+'Property Summary'!$I$22)^(BI$75-1)))*$C6)</f>
        <v>0</v>
      </c>
      <c r="BJ79" s="73">
        <f>IF(OR($B6="",$B6=0),"",(BI41*($R6*(1+'Property Summary'!$I$22)^(BJ$75-1)))*$C6)</f>
        <v>0</v>
      </c>
      <c r="BK79" s="73">
        <f>IF(OR($B6="",$B6=0),"",(BJ41*($R6*(1+'Property Summary'!$I$22)^(BK$75-1)))*$C6)</f>
        <v>4239.6702842880004</v>
      </c>
      <c r="BL79" s="73">
        <f>IF(OR($B6="",$B6=0),"",(BK41*($R6*(1+'Property Summary'!$I$22)^(BL$75-1)))*$C6)</f>
        <v>0</v>
      </c>
      <c r="BM79" s="73">
        <f>IF(OR($B6="",$B6=0),"",(BL41*($R6*(1+'Property Summary'!$I$22)^(BM$75-1)))*$C6)</f>
        <v>0</v>
      </c>
      <c r="BN79" s="73">
        <f>IF(OR($B6="",$B6=0),"",(BM41*($R6*(1+'Property Summary'!$I$22)^(BN$75-1)))*$C6)</f>
        <v>0</v>
      </c>
      <c r="BO79" s="73">
        <f>IF(OR($B6="",$B6=0),"",(BN41*($R6*(1+'Property Summary'!$I$22)^(BO$75-1)))*$C6)</f>
        <v>0</v>
      </c>
      <c r="BP79" s="73">
        <f>IF(OR($B6="",$B6=0),"",(BO41*($R6*(1+'Property Summary'!$I$22)^(BP$75-1)))*$C6)</f>
        <v>0</v>
      </c>
      <c r="BQ79" s="73">
        <f>IF(OR($B6="",$B6=0),"",(BP41*($R6*(1+'Property Summary'!$I$22)^(BQ$75-1)))*$C6)</f>
        <v>0</v>
      </c>
      <c r="BR79" s="73">
        <f>IF(OR($B6="",$B6=0),"",(BQ41*($R6*(1+'Property Summary'!$I$22)^(BR$75-1)))*$C6)</f>
        <v>0</v>
      </c>
      <c r="BS79" s="73">
        <f>IF(OR($B6="",$B6=0),"",(BR41*($R6*(1+'Property Summary'!$I$22)^(BS$75-1)))*$C6)</f>
        <v>0</v>
      </c>
      <c r="BT79" s="73">
        <f>IF(OR($B6="",$B6=0),"",(BS41*($R6*(1+'Property Summary'!$I$22)^(BT$75-1)))*$C6)</f>
        <v>0</v>
      </c>
      <c r="BU79" s="73">
        <f>IF(OR($B6="",$B6=0),"",(BT41*($R6*(1+'Property Summary'!$I$22)^(BU$75-1)))*$C6)</f>
        <v>0</v>
      </c>
      <c r="BV79" s="73">
        <f>IF(OR($B6="",$B6=0),"",(BU41*($R6*(1+'Property Summary'!$I$22)^(BV$75-1)))*$C6)</f>
        <v>0</v>
      </c>
      <c r="BW79" s="73">
        <f>IF(OR($B6="",$B6=0),"",(BV41*($R6*(1+'Property Summary'!$I$22)^(BW$75-1)))*$C6)</f>
        <v>4324.4636899737607</v>
      </c>
      <c r="BX79" s="73">
        <f>IF(OR($B6="",$B6=0),"",(BW41*($R6*(1+'Property Summary'!$I$22)^(BX$75-1)))*$C6)</f>
        <v>0</v>
      </c>
      <c r="BY79" s="73">
        <f>IF(OR($B6="",$B6=0),"",(BX41*($R6*(1+'Property Summary'!$I$22)^(BY$75-1)))*$C6)</f>
        <v>0</v>
      </c>
      <c r="BZ79" s="73">
        <f>IF(OR($B6="",$B6=0),"",(BY41*($R6*(1+'Property Summary'!$I$22)^(BZ$75-1)))*$C6)</f>
        <v>0</v>
      </c>
      <c r="CA79" s="73">
        <f>IF(OR($B6="",$B6=0),"",(BZ41*($R6*(1+'Property Summary'!$I$22)^(CA$75-1)))*$C6)</f>
        <v>0</v>
      </c>
      <c r="CB79" s="73">
        <f>IF(OR($B6="",$B6=0),"",(CA41*($R6*(1+'Property Summary'!$I$22)^(CB$75-1)))*$C6)</f>
        <v>0</v>
      </c>
      <c r="CC79" s="73">
        <f>IF(OR($B6="",$B6=0),"",(CB41*($R6*(1+'Property Summary'!$I$22)^(CC$75-1)))*$C6)</f>
        <v>0</v>
      </c>
      <c r="CD79" s="73">
        <f>IF(OR($B6="",$B6=0),"",(CC41*($R6*(1+'Property Summary'!$I$22)^(CD$75-1)))*$C6)</f>
        <v>0</v>
      </c>
      <c r="CE79" s="73">
        <f>IF(OR($B6="",$B6=0),"",(CD41*($R6*(1+'Property Summary'!$I$22)^(CE$75-1)))*$C6)</f>
        <v>0</v>
      </c>
      <c r="CF79" s="73">
        <f>IF(OR($B6="",$B6=0),"",(CE41*($R6*(1+'Property Summary'!$I$22)^(CF$75-1)))*$C6)</f>
        <v>0</v>
      </c>
      <c r="CG79" s="73">
        <f>IF(OR($B6="",$B6=0),"",(CF41*($R6*(1+'Property Summary'!$I$22)^(CG$75-1)))*$C6)</f>
        <v>0</v>
      </c>
      <c r="CH79" s="73">
        <f>IF(OR($B6="",$B6=0),"",(CG41*($R6*(1+'Property Summary'!$I$22)^(CH$75-1)))*$C6)</f>
        <v>0</v>
      </c>
      <c r="CI79" s="73">
        <f>IF(OR($B6="",$B6=0),"",(CH41*($R6*(1+'Property Summary'!$I$22)^(CI$75-1)))*$C6)</f>
        <v>4410.9529637732348</v>
      </c>
      <c r="CJ79" s="73">
        <f>IF(OR($B6="",$B6=0),"",(CI41*($R6*(1+'Property Summary'!$I$22)^(CJ$75-1)))*$C6)</f>
        <v>0</v>
      </c>
      <c r="CK79" s="73">
        <f>IF(OR($B6="",$B6=0),"",(CJ41*($R6*(1+'Property Summary'!$I$22)^(CK$75-1)))*$C6)</f>
        <v>0</v>
      </c>
      <c r="CL79" s="73">
        <f>IF(OR($B6="",$B6=0),"",(CK41*($R6*(1+'Property Summary'!$I$22)^(CL$75-1)))*$C6)</f>
        <v>0</v>
      </c>
      <c r="CM79" s="73">
        <f>IF(OR($B6="",$B6=0),"",(CL41*($R6*(1+'Property Summary'!$I$22)^(CM$75-1)))*$C6)</f>
        <v>0</v>
      </c>
      <c r="CN79" s="73">
        <f>IF(OR($B6="",$B6=0),"",(CM41*($R6*(1+'Property Summary'!$I$22)^(CN$75-1)))*$C6)</f>
        <v>0</v>
      </c>
      <c r="CO79" s="73">
        <f>IF(OR($B6="",$B6=0),"",(CN41*($R6*(1+'Property Summary'!$I$22)^(CO$75-1)))*$C6)</f>
        <v>0</v>
      </c>
      <c r="CP79" s="73">
        <f>IF(OR($B6="",$B6=0),"",(CO41*($R6*(1+'Property Summary'!$I$22)^(CP$75-1)))*$C6)</f>
        <v>0</v>
      </c>
      <c r="CQ79" s="73">
        <f>IF(OR($B6="",$B6=0),"",(CP41*($R6*(1+'Property Summary'!$I$22)^(CQ$75-1)))*$C6)</f>
        <v>0</v>
      </c>
      <c r="CR79" s="73">
        <f>IF(OR($B6="",$B6=0),"",(CQ41*($R6*(1+'Property Summary'!$I$22)^(CR$75-1)))*$C6)</f>
        <v>0</v>
      </c>
      <c r="CS79" s="73">
        <f>IF(OR($B6="",$B6=0),"",(CR41*($R6*(1+'Property Summary'!$I$22)^(CS$75-1)))*$C6)</f>
        <v>0</v>
      </c>
      <c r="CT79" s="73">
        <f>IF(OR($B6="",$B6=0),"",(CS41*($R6*(1+'Property Summary'!$I$22)^(CT$75-1)))*$C6)</f>
        <v>0</v>
      </c>
      <c r="CU79" s="73">
        <f>IF(OR($B6="",$B6=0),"",(CT41*($R6*(1+'Property Summary'!$I$22)^(CU$75-1)))*$C6)</f>
        <v>4499.172023048699</v>
      </c>
      <c r="CV79" s="73">
        <f>IF(OR($B6="",$B6=0),"",(CU41*($R6*(1+'Property Summary'!$I$22)^(CV$75-1)))*$C6)</f>
        <v>0</v>
      </c>
      <c r="CW79" s="73">
        <f>IF(OR($B6="",$B6=0),"",(CV41*($R6*(1+'Property Summary'!$I$22)^(CW$75-1)))*$C6)</f>
        <v>0</v>
      </c>
      <c r="CX79" s="73">
        <f>IF(OR($B6="",$B6=0),"",(CW41*($R6*(1+'Property Summary'!$I$22)^(CX$75-1)))*$C6)</f>
        <v>0</v>
      </c>
      <c r="CY79" s="73">
        <f>IF(OR($B6="",$B6=0),"",(CX41*($R6*(1+'Property Summary'!$I$22)^(CY$75-1)))*$C6)</f>
        <v>0</v>
      </c>
      <c r="CZ79" s="73">
        <f>IF(OR($B6="",$B6=0),"",(CY41*($R6*(1+'Property Summary'!$I$22)^(CZ$75-1)))*$C6)</f>
        <v>0</v>
      </c>
      <c r="DA79" s="73">
        <f>IF(OR($B6="",$B6=0),"",(CZ41*($R6*(1+'Property Summary'!$I$22)^(DA$75-1)))*$C6)</f>
        <v>0</v>
      </c>
      <c r="DB79" s="73">
        <f>IF(OR($B6="",$B6=0),"",(DA41*($R6*(1+'Property Summary'!$I$22)^(DB$75-1)))*$C6)</f>
        <v>0</v>
      </c>
      <c r="DC79" s="73">
        <f>IF(OR($B6="",$B6=0),"",(DB41*($R6*(1+'Property Summary'!$I$22)^(DC$75-1)))*$C6)</f>
        <v>0</v>
      </c>
      <c r="DD79" s="73">
        <f>IF(OR($B6="",$B6=0),"",(DC41*($R6*(1+'Property Summary'!$I$22)^(DD$75-1)))*$C6)</f>
        <v>0</v>
      </c>
      <c r="DE79" s="73">
        <f>IF(OR($B6="",$B6=0),"",(DD41*($R6*(1+'Property Summary'!$I$22)^(DE$75-1)))*$C6)</f>
        <v>0</v>
      </c>
      <c r="DF79" s="73">
        <f>IF(OR($B6="",$B6=0),"",(DE41*($R6*(1+'Property Summary'!$I$22)^(DF$75-1)))*$C6)</f>
        <v>0</v>
      </c>
      <c r="DG79" s="73">
        <f>IF(OR($B6="",$B6=0),"",(DF41*($R6*(1+'Property Summary'!$I$22)^(DG$75-1)))*$C6)</f>
        <v>4589.1554635096736</v>
      </c>
      <c r="DH79" s="73">
        <f>IF(OR($B6="",$B6=0),"",(DG41*($R6*(1+'Property Summary'!$I$22)^(DH$75-1)))*$C6)</f>
        <v>0</v>
      </c>
      <c r="DI79" s="73">
        <f>IF(OR($B6="",$B6=0),"",(DH41*($R6*(1+'Property Summary'!$I$22)^(DI$75-1)))*$C6)</f>
        <v>0</v>
      </c>
      <c r="DJ79" s="73">
        <f>IF(OR($B6="",$B6=0),"",(DI41*($R6*(1+'Property Summary'!$I$22)^(DJ$75-1)))*$C6)</f>
        <v>0</v>
      </c>
      <c r="DK79" s="73">
        <f>IF(OR($B6="",$B6=0),"",(DJ41*($R6*(1+'Property Summary'!$I$22)^(DK$75-1)))*$C6)</f>
        <v>0</v>
      </c>
      <c r="DL79" s="73">
        <f>IF(OR($B6="",$B6=0),"",(DK41*($R6*(1+'Property Summary'!$I$22)^(DL$75-1)))*$C6)</f>
        <v>0</v>
      </c>
      <c r="DM79" s="73">
        <f>IF(OR($B6="",$B6=0),"",(DL41*($R6*(1+'Property Summary'!$I$22)^(DM$75-1)))*$C6)</f>
        <v>0</v>
      </c>
      <c r="DN79" s="73">
        <f>IF(OR($B6="",$B6=0),"",(DM41*($R6*(1+'Property Summary'!$I$22)^(DN$75-1)))*$C6)</f>
        <v>0</v>
      </c>
      <c r="DO79" s="73">
        <f>IF(OR($B6="",$B6=0),"",(DN41*($R6*(1+'Property Summary'!$I$22)^(DO$75-1)))*$C6)</f>
        <v>0</v>
      </c>
      <c r="DP79" s="73">
        <f>IF(OR($B6="",$B6=0),"",(DO41*($R6*(1+'Property Summary'!$I$22)^(DP$75-1)))*$C6)</f>
        <v>0</v>
      </c>
      <c r="DQ79" s="73">
        <f>IF(OR($B6="",$B6=0),"",(DP41*($R6*(1+'Property Summary'!$I$22)^(DQ$75-1)))*$C6)</f>
        <v>0</v>
      </c>
      <c r="DR79" s="73">
        <f>IF(OR($B6="",$B6=0),"",(DQ41*($R6*(1+'Property Summary'!$I$22)^(DR$75-1)))*$C6)</f>
        <v>0</v>
      </c>
      <c r="DS79" s="73">
        <f>IF(OR($B6="",$B6=0),"",(DR41*($R6*(1+'Property Summary'!$I$22)^(DS$75-1)))*$C6)</f>
        <v>4680.9385727798672</v>
      </c>
      <c r="DT79" s="73">
        <f>IF(OR($B6="",$B6=0),"",(DS41*($R6*(1+'Property Summary'!$I$22)^(DT$75-1)))*$C6)</f>
        <v>0</v>
      </c>
      <c r="DU79" s="73">
        <f>IF(OR($B6="",$B6=0),"",(DT41*($R6*(1+'Property Summary'!$I$22)^(DU$75-1)))*$C6)</f>
        <v>0</v>
      </c>
      <c r="DV79" s="73">
        <f>IF(OR($B6="",$B6=0),"",(DU41*($R6*(1+'Property Summary'!$I$22)^(DV$75-1)))*$C6)</f>
        <v>0</v>
      </c>
      <c r="DW79" s="73">
        <f>IF(OR($B6="",$B6=0),"",(DV41*($R6*(1+'Property Summary'!$I$22)^(DW$75-1)))*$C6)</f>
        <v>0</v>
      </c>
      <c r="DX79" s="73">
        <f>IF(OR($B6="",$B6=0),"",(DW41*($R6*(1+'Property Summary'!$I$22)^(DX$75-1)))*$C6)</f>
        <v>0</v>
      </c>
      <c r="DY79" s="73">
        <f>IF(OR($B6="",$B6=0),"",(DX41*($R6*(1+'Property Summary'!$I$22)^(DY$75-1)))*$C6)</f>
        <v>0</v>
      </c>
      <c r="DZ79" s="73">
        <f>IF(OR($B6="",$B6=0),"",(DY41*($R6*(1+'Property Summary'!$I$22)^(DZ$75-1)))*$C6)</f>
        <v>0</v>
      </c>
      <c r="EA79" s="73">
        <f>IF(OR($B6="",$B6=0),"",(DZ41*($R6*(1+'Property Summary'!$I$22)^(EA$75-1)))*$C6)</f>
        <v>0</v>
      </c>
      <c r="EB79" s="73">
        <f>IF(OR($B6="",$B6=0),"",(EA41*($R6*(1+'Property Summary'!$I$22)^(EB$75-1)))*$C6)</f>
        <v>0</v>
      </c>
      <c r="EC79" s="73">
        <f>IF(OR($B6="",$B6=0),"",(EB41*($R6*(1+'Property Summary'!$I$22)^(EC$75-1)))*$C6)</f>
        <v>0</v>
      </c>
      <c r="ED79" s="73">
        <f>IF(OR($B6="",$B6=0),"",(EC41*($R6*(1+'Property Summary'!$I$22)^(ED$75-1)))*$C6)</f>
        <v>0</v>
      </c>
      <c r="EE79" s="73">
        <f>IF(OR($B6="",$B6=0),"",(ED41*($R6*(1+'Property Summary'!$I$22)^(EE$75-1)))*$C6)</f>
        <v>4774.5573442354635</v>
      </c>
      <c r="EF79" s="73">
        <f>IF(OR($B6="",$B6=0),"",(EE41*($R6*(1+'Property Summary'!$I$22)^(EF$75-1)))*$C6)</f>
        <v>0</v>
      </c>
      <c r="EG79" s="73">
        <f>IF(OR($B6="",$B6=0),"",(EF41*($R6*(1+'Property Summary'!$I$22)^(EG$75-1)))*$C6)</f>
        <v>0</v>
      </c>
      <c r="EH79" s="73">
        <f>IF(OR($B6="",$B6=0),"",(EG41*($R6*(1+'Property Summary'!$I$22)^(EH$75-1)))*$C6)</f>
        <v>0</v>
      </c>
      <c r="EI79" s="73">
        <f>IF(OR($B6="",$B6=0),"",(EH41*($R6*(1+'Property Summary'!$I$22)^(EI$75-1)))*$C6)</f>
        <v>0</v>
      </c>
      <c r="EJ79" s="73">
        <f>IF(OR($B6="",$B6=0),"",(EI41*($R6*(1+'Property Summary'!$I$22)^(EJ$75-1)))*$C6)</f>
        <v>0</v>
      </c>
      <c r="EK79" s="73">
        <f>IF(OR($B6="",$B6=0),"",(EJ41*($R6*(1+'Property Summary'!$I$22)^(EK$75-1)))*$C6)</f>
        <v>0</v>
      </c>
      <c r="EL79" s="73">
        <f>IF(OR($B6="",$B6=0),"",(EK41*($R6*(1+'Property Summary'!$I$22)^(EL$75-1)))*$C6)</f>
        <v>0</v>
      </c>
      <c r="EM79" s="73">
        <f>IF(OR($B6="",$B6=0),"",(EL41*($R6*(1+'Property Summary'!$I$22)^(EM$75-1)))*$C6)</f>
        <v>0</v>
      </c>
      <c r="EN79" s="73">
        <f>IF(OR($B6="",$B6=0),"",(EM41*($R6*(1+'Property Summary'!$I$22)^(EN$75-1)))*$C6)</f>
        <v>0</v>
      </c>
      <c r="EO79" s="73">
        <f>IF(OR($B6="",$B6=0),"",(EN41*($R6*(1+'Property Summary'!$I$22)^(EO$75-1)))*$C6)</f>
        <v>0</v>
      </c>
      <c r="EP79" s="73">
        <f>IF(OR($B6="",$B6=0),"",(EO41*($R6*(1+'Property Summary'!$I$22)^(EP$75-1)))*$C6)</f>
        <v>0</v>
      </c>
      <c r="EQ79" s="73">
        <f>IF(OR($B6="",$B6=0),"",(EP41*($R6*(1+'Property Summary'!$I$22)^(EQ$75-1)))*$C6)</f>
        <v>4870.0484911201738</v>
      </c>
      <c r="ER79" s="73">
        <f>IF(OR($B6="",$B6=0),"",(EQ41*($R6*(1+'Property Summary'!$I$22)^(ER$75-1)))*$C6)</f>
        <v>0</v>
      </c>
      <c r="ES79" s="73">
        <f>IF(OR($B6="",$B6=0),"",(ER41*($R6*(1+'Property Summary'!$I$22)^(ES$75-1)))*$C6)</f>
        <v>0</v>
      </c>
      <c r="ET79" s="73">
        <f>IF(OR($B6="",$B6=0),"",(ES41*($R6*(1+'Property Summary'!$I$22)^(ET$75-1)))*$C6)</f>
        <v>0</v>
      </c>
      <c r="EU79" s="73">
        <f>IF(OR($B6="",$B6=0),"",(ET41*($R6*(1+'Property Summary'!$I$22)^(EU$75-1)))*$C6)</f>
        <v>0</v>
      </c>
      <c r="EV79" s="73">
        <f>IF(OR($B6="",$B6=0),"",(EU41*($R6*(1+'Property Summary'!$I$22)^(EV$75-1)))*$C6)</f>
        <v>0</v>
      </c>
      <c r="EW79" s="73">
        <f>IF(OR($B6="",$B6=0),"",(EV41*($R6*(1+'Property Summary'!$I$22)^(EW$75-1)))*$C6)</f>
        <v>0</v>
      </c>
      <c r="EX79" s="73">
        <f>IF(OR($B6="",$B6=0),"",(EW41*($R6*(1+'Property Summary'!$I$22)^(EX$75-1)))*$C6)</f>
        <v>0</v>
      </c>
      <c r="EY79" s="73">
        <f>IF(OR($B6="",$B6=0),"",(EX41*($R6*(1+'Property Summary'!$I$22)^(EY$75-1)))*$C6)</f>
        <v>0</v>
      </c>
      <c r="EZ79" s="73">
        <f>IF(OR($B6="",$B6=0),"",(EY41*($R6*(1+'Property Summary'!$I$22)^(EZ$75-1)))*$C6)</f>
        <v>0</v>
      </c>
      <c r="FA79" s="73">
        <f>IF(OR($B6="",$B6=0),"",(EZ41*($R6*(1+'Property Summary'!$I$22)^(FA$75-1)))*$C6)</f>
        <v>0</v>
      </c>
      <c r="FB79" s="73">
        <f>IF(OR($B6="",$B6=0),"",(FA41*($R6*(1+'Property Summary'!$I$22)^(FB$75-1)))*$C6)</f>
        <v>0</v>
      </c>
      <c r="FC79" s="73">
        <f>IF(OR($B6="",$B6=0),"",(FB41*($R6*(1+'Property Summary'!$I$22)^(FC$75-1)))*$C6)</f>
        <v>4967.4494609425774</v>
      </c>
      <c r="FD79" s="73">
        <f>IF(OR($B6="",$B6=0),"",(FC41*($R6*(1+'Property Summary'!$I$22)^(FD$75-1)))*$C6)</f>
        <v>0</v>
      </c>
      <c r="FE79" s="73">
        <f>IF(OR($B6="",$B6=0),"",(FD41*($R6*(1+'Property Summary'!$I$22)^(FE$75-1)))*$C6)</f>
        <v>0</v>
      </c>
      <c r="FF79" s="73">
        <f>IF(OR($B6="",$B6=0),"",(FE41*($R6*(1+'Property Summary'!$I$22)^(FF$75-1)))*$C6)</f>
        <v>0</v>
      </c>
      <c r="FG79" s="73">
        <f>IF(OR($B6="",$B6=0),"",(FF41*($R6*(1+'Property Summary'!$I$22)^(FG$75-1)))*$C6)</f>
        <v>0</v>
      </c>
      <c r="FH79" s="73">
        <f>IF(OR($B6="",$B6=0),"",(FG41*($R6*(1+'Property Summary'!$I$22)^(FH$75-1)))*$C6)</f>
        <v>0</v>
      </c>
      <c r="FI79" s="73">
        <f>IF(OR($B6="",$B6=0),"",(FH41*($R6*(1+'Property Summary'!$I$22)^(FI$75-1)))*$C6)</f>
        <v>0</v>
      </c>
      <c r="FJ79" s="73">
        <f>IF(OR($B6="",$B6=0),"",(FI41*($R6*(1+'Property Summary'!$I$22)^(FJ$75-1)))*$C6)</f>
        <v>0</v>
      </c>
      <c r="FK79" s="73">
        <f>IF(OR($B6="",$B6=0),"",(FJ41*($R6*(1+'Property Summary'!$I$22)^(FK$75-1)))*$C6)</f>
        <v>0</v>
      </c>
      <c r="FL79" s="73">
        <f>IF(OR($B6="",$B6=0),"",(FK41*($R6*(1+'Property Summary'!$I$22)^(FL$75-1)))*$C6)</f>
        <v>0</v>
      </c>
      <c r="FM79" s="73">
        <f>IF(OR($B6="",$B6=0),"",(FL41*($R6*(1+'Property Summary'!$I$22)^(FM$75-1)))*$C6)</f>
        <v>0</v>
      </c>
      <c r="FN79" s="73">
        <f>IF(OR($B6="",$B6=0),"",(FM41*($R6*(1+'Property Summary'!$I$22)^(FN$75-1)))*$C6)</f>
        <v>0</v>
      </c>
      <c r="FO79" s="73">
        <f>IF(OR($B6="",$B6=0),"",(FN41*($R6*(1+'Property Summary'!$I$22)^(FO$75-1)))*$C6)</f>
        <v>5066.7984501614283</v>
      </c>
      <c r="FP79" s="73">
        <f>IF(OR($B6="",$B6=0),"",(FO41*($R6*(1+'Property Summary'!$I$22)^(FP$75-1)))*$C6)</f>
        <v>0</v>
      </c>
      <c r="FQ79" s="73">
        <f>IF(OR($B6="",$B6=0),"",(FP41*($R6*(1+'Property Summary'!$I$22)^(FQ$75-1)))*$C6)</f>
        <v>0</v>
      </c>
      <c r="FR79" s="73">
        <f>IF(OR($B6="",$B6=0),"",(FQ41*($R6*(1+'Property Summary'!$I$22)^(FR$75-1)))*$C6)</f>
        <v>0</v>
      </c>
      <c r="FS79" s="73">
        <f>IF(OR($B6="",$B6=0),"",(FR41*($R6*(1+'Property Summary'!$I$22)^(FS$75-1)))*$C6)</f>
        <v>0</v>
      </c>
      <c r="FT79" s="73">
        <f>IF(OR($B6="",$B6=0),"",(FS41*($R6*(1+'Property Summary'!$I$22)^(FT$75-1)))*$C6)</f>
        <v>0</v>
      </c>
      <c r="FU79" s="73">
        <f>IF(OR($B6="",$B6=0),"",(FT41*($R6*(1+'Property Summary'!$I$22)^(FU$75-1)))*$C6)</f>
        <v>0</v>
      </c>
      <c r="FV79" s="73">
        <f>IF(OR($B6="",$B6=0),"",(FU41*($R6*(1+'Property Summary'!$I$22)^(FV$75-1)))*$C6)</f>
        <v>0</v>
      </c>
      <c r="FW79" s="73">
        <f>IF(OR($B6="",$B6=0),"",(FV41*($R6*(1+'Property Summary'!$I$22)^(FW$75-1)))*$C6)</f>
        <v>0</v>
      </c>
      <c r="FX79" s="73">
        <f>IF(OR($B6="",$B6=0),"",(FW41*($R6*(1+'Property Summary'!$I$22)^(FX$75-1)))*$C6)</f>
        <v>0</v>
      </c>
      <c r="FY79" s="73">
        <f>IF(OR($B6="",$B6=0),"",(FX41*($R6*(1+'Property Summary'!$I$22)^(FY$75-1)))*$C6)</f>
        <v>0</v>
      </c>
      <c r="FZ79" s="86">
        <f>IF(OR($B6="",$B6=0),"",(FY41*($R6*(1+'Property Summary'!$I$22)^(FZ$75-1)))*$C6)</f>
        <v>0</v>
      </c>
    </row>
    <row r="80" spans="2:182" x14ac:dyDescent="0.2">
      <c r="B80" s="85"/>
      <c r="C80" s="73">
        <f>IF(OR($B7="",$B7=0),"",(B42*($R7*(1+'Property Summary'!$I$22)^(C$75-1)))*$C7)</f>
        <v>0</v>
      </c>
      <c r="D80" s="73">
        <f>IF(OR($B7="",$B7=0),"",(C42*($R7*(1+'Property Summary'!$I$22)^(D$75-1)))*$C7)</f>
        <v>0</v>
      </c>
      <c r="E80" s="73">
        <f>IF(OR($B7="",$B7=0),"",(D42*($R7*(1+'Property Summary'!$I$22)^(E$75-1)))*$C7)</f>
        <v>0</v>
      </c>
      <c r="F80" s="73">
        <f>IF(OR($B7="",$B7=0),"",(E42*($R7*(1+'Property Summary'!$I$22)^(F$75-1)))*$C7)</f>
        <v>0</v>
      </c>
      <c r="G80" s="73">
        <f>IF(OR($B7="",$B7=0),"",(F42*($R7*(1+'Property Summary'!$I$22)^(G$75-1)))*$C7)</f>
        <v>0</v>
      </c>
      <c r="H80" s="73">
        <f>IF(OR($B7="",$B7=0),"",(G42*($R7*(1+'Property Summary'!$I$22)^(H$75-1)))*$C7)</f>
        <v>0</v>
      </c>
      <c r="I80" s="73">
        <f>IF(OR($B7="",$B7=0),"",(H42*($R7*(1+'Property Summary'!$I$22)^(I$75-1)))*$C7)</f>
        <v>0</v>
      </c>
      <c r="J80" s="73">
        <f>IF(OR($B7="",$B7=0),"",(I42*($R7*(1+'Property Summary'!$I$22)^(J$75-1)))*$C7)</f>
        <v>0</v>
      </c>
      <c r="K80" s="73">
        <f>IF(OR($B7="",$B7=0),"",(J42*($R7*(1+'Property Summary'!$I$22)^(K$75-1)))*$C7)</f>
        <v>0</v>
      </c>
      <c r="L80" s="73">
        <f>IF(OR($B7="",$B7=0),"",(K42*($R7*(1+'Property Summary'!$I$22)^(L$75-1)))*$C7)</f>
        <v>0</v>
      </c>
      <c r="M80" s="73">
        <f>IF(OR($B7="",$B7=0),"",(L42*($R7*(1+'Property Summary'!$I$22)^(M$75-1)))*$C7)</f>
        <v>0</v>
      </c>
      <c r="N80" s="73">
        <f>IF(OR($B7="",$B7=0),"",(M42*($R7*(1+'Property Summary'!$I$22)^(N$75-1)))*$C7)</f>
        <v>0</v>
      </c>
      <c r="O80" s="73">
        <f>IF(OR($B7="",$B7=0),"",(N42*($R7*(1+'Property Summary'!$I$22)^(O$75-1)))*$C7)</f>
        <v>4488</v>
      </c>
      <c r="P80" s="73">
        <f>IF(OR($B7="",$B7=0),"",(O42*($R7*(1+'Property Summary'!$I$22)^(P$75-1)))*$C7)</f>
        <v>0</v>
      </c>
      <c r="Q80" s="73">
        <f>IF(OR($B7="",$B7=0),"",(P42*($R7*(1+'Property Summary'!$I$22)^(Q$75-1)))*$C7)</f>
        <v>0</v>
      </c>
      <c r="R80" s="73">
        <f>IF(OR($B7="",$B7=0),"",(Q42*($R7*(1+'Property Summary'!$I$22)^(R$75-1)))*$C7)</f>
        <v>0</v>
      </c>
      <c r="S80" s="73">
        <f>IF(OR($B7="",$B7=0),"",(R42*($R7*(1+'Property Summary'!$I$22)^(S$75-1)))*$C7)</f>
        <v>0</v>
      </c>
      <c r="T80" s="73">
        <f>IF(OR($B7="",$B7=0),"",(S42*($R7*(1+'Property Summary'!$I$22)^(T$75-1)))*$C7)</f>
        <v>0</v>
      </c>
      <c r="U80" s="73">
        <f>IF(OR($B7="",$B7=0),"",(T42*($R7*(1+'Property Summary'!$I$22)^(U$75-1)))*$C7)</f>
        <v>0</v>
      </c>
      <c r="V80" s="73">
        <f>IF(OR($B7="",$B7=0),"",(U42*($R7*(1+'Property Summary'!$I$22)^(V$75-1)))*$C7)</f>
        <v>0</v>
      </c>
      <c r="W80" s="73">
        <f>IF(OR($B7="",$B7=0),"",(V42*($R7*(1+'Property Summary'!$I$22)^(W$75-1)))*$C7)</f>
        <v>0</v>
      </c>
      <c r="X80" s="73">
        <f>IF(OR($B7="",$B7=0),"",(W42*($R7*(1+'Property Summary'!$I$22)^(X$75-1)))*$C7)</f>
        <v>0</v>
      </c>
      <c r="Y80" s="73">
        <f>IF(OR($B7="",$B7=0),"",(X42*($R7*(1+'Property Summary'!$I$22)^(Y$75-1)))*$C7)</f>
        <v>0</v>
      </c>
      <c r="Z80" s="73">
        <f>IF(OR($B7="",$B7=0),"",(Y42*($R7*(1+'Property Summary'!$I$22)^(Z$75-1)))*$C7)</f>
        <v>0</v>
      </c>
      <c r="AA80" s="73">
        <f>IF(OR($B7="",$B7=0),"",(Z42*($R7*(1+'Property Summary'!$I$22)^(AA$75-1)))*$C7)</f>
        <v>4577.76</v>
      </c>
      <c r="AB80" s="73">
        <f>IF(OR($B7="",$B7=0),"",(AA42*($R7*(1+'Property Summary'!$I$22)^(AB$75-1)))*$C7)</f>
        <v>0</v>
      </c>
      <c r="AC80" s="73">
        <f>IF(OR($B7="",$B7=0),"",(AB42*($R7*(1+'Property Summary'!$I$22)^(AC$75-1)))*$C7)</f>
        <v>0</v>
      </c>
      <c r="AD80" s="73">
        <f>IF(OR($B7="",$B7=0),"",(AC42*($R7*(1+'Property Summary'!$I$22)^(AD$75-1)))*$C7)</f>
        <v>0</v>
      </c>
      <c r="AE80" s="73">
        <f>IF(OR($B7="",$B7=0),"",(AD42*($R7*(1+'Property Summary'!$I$22)^(AE$75-1)))*$C7)</f>
        <v>0</v>
      </c>
      <c r="AF80" s="73">
        <f>IF(OR($B7="",$B7=0),"",(AE42*($R7*(1+'Property Summary'!$I$22)^(AF$75-1)))*$C7)</f>
        <v>0</v>
      </c>
      <c r="AG80" s="73">
        <f>IF(OR($B7="",$B7=0),"",(AF42*($R7*(1+'Property Summary'!$I$22)^(AG$75-1)))*$C7)</f>
        <v>0</v>
      </c>
      <c r="AH80" s="73">
        <f>IF(OR($B7="",$B7=0),"",(AG42*($R7*(1+'Property Summary'!$I$22)^(AH$75-1)))*$C7)</f>
        <v>0</v>
      </c>
      <c r="AI80" s="73">
        <f>IF(OR($B7="",$B7=0),"",(AH42*($R7*(1+'Property Summary'!$I$22)^(AI$75-1)))*$C7)</f>
        <v>0</v>
      </c>
      <c r="AJ80" s="73">
        <f>IF(OR($B7="",$B7=0),"",(AI42*($R7*(1+'Property Summary'!$I$22)^(AJ$75-1)))*$C7)</f>
        <v>0</v>
      </c>
      <c r="AK80" s="73">
        <f>IF(OR($B7="",$B7=0),"",(AJ42*($R7*(1+'Property Summary'!$I$22)^(AK$75-1)))*$C7)</f>
        <v>0</v>
      </c>
      <c r="AL80" s="73">
        <f>IF(OR($B7="",$B7=0),"",(AK42*($R7*(1+'Property Summary'!$I$22)^(AL$75-1)))*$C7)</f>
        <v>0</v>
      </c>
      <c r="AM80" s="73">
        <f>IF(OR($B7="",$B7=0),"",(AL42*($R7*(1+'Property Summary'!$I$22)^(AM$75-1)))*$C7)</f>
        <v>4669.3152</v>
      </c>
      <c r="AN80" s="73">
        <f>IF(OR($B7="",$B7=0),"",(AM42*($R7*(1+'Property Summary'!$I$22)^(AN$75-1)))*$C7)</f>
        <v>0</v>
      </c>
      <c r="AO80" s="73">
        <f>IF(OR($B7="",$B7=0),"",(AN42*($R7*(1+'Property Summary'!$I$22)^(AO$75-1)))*$C7)</f>
        <v>0</v>
      </c>
      <c r="AP80" s="73">
        <f>IF(OR($B7="",$B7=0),"",(AO42*($R7*(1+'Property Summary'!$I$22)^(AP$75-1)))*$C7)</f>
        <v>0</v>
      </c>
      <c r="AQ80" s="73">
        <f>IF(OR($B7="",$B7=0),"",(AP42*($R7*(1+'Property Summary'!$I$22)^(AQ$75-1)))*$C7)</f>
        <v>0</v>
      </c>
      <c r="AR80" s="73">
        <f>IF(OR($B7="",$B7=0),"",(AQ42*($R7*(1+'Property Summary'!$I$22)^(AR$75-1)))*$C7)</f>
        <v>0</v>
      </c>
      <c r="AS80" s="73">
        <f>IF(OR($B7="",$B7=0),"",(AR42*($R7*(1+'Property Summary'!$I$22)^(AS$75-1)))*$C7)</f>
        <v>0</v>
      </c>
      <c r="AT80" s="73">
        <f>IF(OR($B7="",$B7=0),"",(AS42*($R7*(1+'Property Summary'!$I$22)^(AT$75-1)))*$C7)</f>
        <v>0</v>
      </c>
      <c r="AU80" s="73">
        <f>IF(OR($B7="",$B7=0),"",(AT42*($R7*(1+'Property Summary'!$I$22)^(AU$75-1)))*$C7)</f>
        <v>0</v>
      </c>
      <c r="AV80" s="73">
        <f>IF(OR($B7="",$B7=0),"",(AU42*($R7*(1+'Property Summary'!$I$22)^(AV$75-1)))*$C7)</f>
        <v>0</v>
      </c>
      <c r="AW80" s="73">
        <f>IF(OR($B7="",$B7=0),"",(AV42*($R7*(1+'Property Summary'!$I$22)^(AW$75-1)))*$C7)</f>
        <v>0</v>
      </c>
      <c r="AX80" s="73">
        <f>IF(OR($B7="",$B7=0),"",(AW42*($R7*(1+'Property Summary'!$I$22)^(AX$75-1)))*$C7)</f>
        <v>0</v>
      </c>
      <c r="AY80" s="73">
        <f>IF(OR($B7="",$B7=0),"",(AX42*($R7*(1+'Property Summary'!$I$22)^(AY$75-1)))*$C7)</f>
        <v>4762.7015039999997</v>
      </c>
      <c r="AZ80" s="73">
        <f>IF(OR($B7="",$B7=0),"",(AY42*($R7*(1+'Property Summary'!$I$22)^(AZ$75-1)))*$C7)</f>
        <v>0</v>
      </c>
      <c r="BA80" s="73">
        <f>IF(OR($B7="",$B7=0),"",(AZ42*($R7*(1+'Property Summary'!$I$22)^(BA$75-1)))*$C7)</f>
        <v>0</v>
      </c>
      <c r="BB80" s="73">
        <f>IF(OR($B7="",$B7=0),"",(BA42*($R7*(1+'Property Summary'!$I$22)^(BB$75-1)))*$C7)</f>
        <v>0</v>
      </c>
      <c r="BC80" s="73">
        <f>IF(OR($B7="",$B7=0),"",(BB42*($R7*(1+'Property Summary'!$I$22)^(BC$75-1)))*$C7)</f>
        <v>0</v>
      </c>
      <c r="BD80" s="73">
        <f>IF(OR($B7="",$B7=0),"",(BC42*($R7*(1+'Property Summary'!$I$22)^(BD$75-1)))*$C7)</f>
        <v>0</v>
      </c>
      <c r="BE80" s="73">
        <f>IF(OR($B7="",$B7=0),"",(BD42*($R7*(1+'Property Summary'!$I$22)^(BE$75-1)))*$C7)</f>
        <v>0</v>
      </c>
      <c r="BF80" s="73">
        <f>IF(OR($B7="",$B7=0),"",(BE42*($R7*(1+'Property Summary'!$I$22)^(BF$75-1)))*$C7)</f>
        <v>0</v>
      </c>
      <c r="BG80" s="73">
        <f>IF(OR($B7="",$B7=0),"",(BF42*($R7*(1+'Property Summary'!$I$22)^(BG$75-1)))*$C7)</f>
        <v>0</v>
      </c>
      <c r="BH80" s="73">
        <f>IF(OR($B7="",$B7=0),"",(BG42*($R7*(1+'Property Summary'!$I$22)^(BH$75-1)))*$C7)</f>
        <v>0</v>
      </c>
      <c r="BI80" s="73">
        <f>IF(OR($B7="",$B7=0),"",(BH42*($R7*(1+'Property Summary'!$I$22)^(BI$75-1)))*$C7)</f>
        <v>0</v>
      </c>
      <c r="BJ80" s="73">
        <f>IF(OR($B7="",$B7=0),"",(BI42*($R7*(1+'Property Summary'!$I$22)^(BJ$75-1)))*$C7)</f>
        <v>0</v>
      </c>
      <c r="BK80" s="73">
        <f>IF(OR($B7="",$B7=0),"",(BJ42*($R7*(1+'Property Summary'!$I$22)^(BK$75-1)))*$C7)</f>
        <v>4857.9555340799998</v>
      </c>
      <c r="BL80" s="73">
        <f>IF(OR($B7="",$B7=0),"",(BK42*($R7*(1+'Property Summary'!$I$22)^(BL$75-1)))*$C7)</f>
        <v>0</v>
      </c>
      <c r="BM80" s="73">
        <f>IF(OR($B7="",$B7=0),"",(BL42*($R7*(1+'Property Summary'!$I$22)^(BM$75-1)))*$C7)</f>
        <v>0</v>
      </c>
      <c r="BN80" s="73">
        <f>IF(OR($B7="",$B7=0),"",(BM42*($R7*(1+'Property Summary'!$I$22)^(BN$75-1)))*$C7)</f>
        <v>0</v>
      </c>
      <c r="BO80" s="73">
        <f>IF(OR($B7="",$B7=0),"",(BN42*($R7*(1+'Property Summary'!$I$22)^(BO$75-1)))*$C7)</f>
        <v>0</v>
      </c>
      <c r="BP80" s="73">
        <f>IF(OR($B7="",$B7=0),"",(BO42*($R7*(1+'Property Summary'!$I$22)^(BP$75-1)))*$C7)</f>
        <v>0</v>
      </c>
      <c r="BQ80" s="73">
        <f>IF(OR($B7="",$B7=0),"",(BP42*($R7*(1+'Property Summary'!$I$22)^(BQ$75-1)))*$C7)</f>
        <v>0</v>
      </c>
      <c r="BR80" s="73">
        <f>IF(OR($B7="",$B7=0),"",(BQ42*($R7*(1+'Property Summary'!$I$22)^(BR$75-1)))*$C7)</f>
        <v>0</v>
      </c>
      <c r="BS80" s="73">
        <f>IF(OR($B7="",$B7=0),"",(BR42*($R7*(1+'Property Summary'!$I$22)^(BS$75-1)))*$C7)</f>
        <v>0</v>
      </c>
      <c r="BT80" s="73">
        <f>IF(OR($B7="",$B7=0),"",(BS42*($R7*(1+'Property Summary'!$I$22)^(BT$75-1)))*$C7)</f>
        <v>0</v>
      </c>
      <c r="BU80" s="73">
        <f>IF(OR($B7="",$B7=0),"",(BT42*($R7*(1+'Property Summary'!$I$22)^(BU$75-1)))*$C7)</f>
        <v>0</v>
      </c>
      <c r="BV80" s="73">
        <f>IF(OR($B7="",$B7=0),"",(BU42*($R7*(1+'Property Summary'!$I$22)^(BV$75-1)))*$C7)</f>
        <v>0</v>
      </c>
      <c r="BW80" s="73">
        <f>IF(OR($B7="",$B7=0),"",(BV42*($R7*(1+'Property Summary'!$I$22)^(BW$75-1)))*$C7)</f>
        <v>4955.1146447616002</v>
      </c>
      <c r="BX80" s="73">
        <f>IF(OR($B7="",$B7=0),"",(BW42*($R7*(1+'Property Summary'!$I$22)^(BX$75-1)))*$C7)</f>
        <v>0</v>
      </c>
      <c r="BY80" s="73">
        <f>IF(OR($B7="",$B7=0),"",(BX42*($R7*(1+'Property Summary'!$I$22)^(BY$75-1)))*$C7)</f>
        <v>0</v>
      </c>
      <c r="BZ80" s="73">
        <f>IF(OR($B7="",$B7=0),"",(BY42*($R7*(1+'Property Summary'!$I$22)^(BZ$75-1)))*$C7)</f>
        <v>0</v>
      </c>
      <c r="CA80" s="73">
        <f>IF(OR($B7="",$B7=0),"",(BZ42*($R7*(1+'Property Summary'!$I$22)^(CA$75-1)))*$C7)</f>
        <v>0</v>
      </c>
      <c r="CB80" s="73">
        <f>IF(OR($B7="",$B7=0),"",(CA42*($R7*(1+'Property Summary'!$I$22)^(CB$75-1)))*$C7)</f>
        <v>0</v>
      </c>
      <c r="CC80" s="73">
        <f>IF(OR($B7="",$B7=0),"",(CB42*($R7*(1+'Property Summary'!$I$22)^(CC$75-1)))*$C7)</f>
        <v>0</v>
      </c>
      <c r="CD80" s="73">
        <f>IF(OR($B7="",$B7=0),"",(CC42*($R7*(1+'Property Summary'!$I$22)^(CD$75-1)))*$C7)</f>
        <v>0</v>
      </c>
      <c r="CE80" s="73">
        <f>IF(OR($B7="",$B7=0),"",(CD42*($R7*(1+'Property Summary'!$I$22)^(CE$75-1)))*$C7)</f>
        <v>0</v>
      </c>
      <c r="CF80" s="73">
        <f>IF(OR($B7="",$B7=0),"",(CE42*($R7*(1+'Property Summary'!$I$22)^(CF$75-1)))*$C7)</f>
        <v>0</v>
      </c>
      <c r="CG80" s="73">
        <f>IF(OR($B7="",$B7=0),"",(CF42*($R7*(1+'Property Summary'!$I$22)^(CG$75-1)))*$C7)</f>
        <v>0</v>
      </c>
      <c r="CH80" s="73">
        <f>IF(OR($B7="",$B7=0),"",(CG42*($R7*(1+'Property Summary'!$I$22)^(CH$75-1)))*$C7)</f>
        <v>0</v>
      </c>
      <c r="CI80" s="73">
        <f>IF(OR($B7="",$B7=0),"",(CH42*($R7*(1+'Property Summary'!$I$22)^(CI$75-1)))*$C7)</f>
        <v>5054.2169376568309</v>
      </c>
      <c r="CJ80" s="73">
        <f>IF(OR($B7="",$B7=0),"",(CI42*($R7*(1+'Property Summary'!$I$22)^(CJ$75-1)))*$C7)</f>
        <v>0</v>
      </c>
      <c r="CK80" s="73">
        <f>IF(OR($B7="",$B7=0),"",(CJ42*($R7*(1+'Property Summary'!$I$22)^(CK$75-1)))*$C7)</f>
        <v>0</v>
      </c>
      <c r="CL80" s="73">
        <f>IF(OR($B7="",$B7=0),"",(CK42*($R7*(1+'Property Summary'!$I$22)^(CL$75-1)))*$C7)</f>
        <v>0</v>
      </c>
      <c r="CM80" s="73">
        <f>IF(OR($B7="",$B7=0),"",(CL42*($R7*(1+'Property Summary'!$I$22)^(CM$75-1)))*$C7)</f>
        <v>0</v>
      </c>
      <c r="CN80" s="73">
        <f>IF(OR($B7="",$B7=0),"",(CM42*($R7*(1+'Property Summary'!$I$22)^(CN$75-1)))*$C7)</f>
        <v>0</v>
      </c>
      <c r="CO80" s="73">
        <f>IF(OR($B7="",$B7=0),"",(CN42*($R7*(1+'Property Summary'!$I$22)^(CO$75-1)))*$C7)</f>
        <v>0</v>
      </c>
      <c r="CP80" s="73">
        <f>IF(OR($B7="",$B7=0),"",(CO42*($R7*(1+'Property Summary'!$I$22)^(CP$75-1)))*$C7)</f>
        <v>0</v>
      </c>
      <c r="CQ80" s="73">
        <f>IF(OR($B7="",$B7=0),"",(CP42*($R7*(1+'Property Summary'!$I$22)^(CQ$75-1)))*$C7)</f>
        <v>0</v>
      </c>
      <c r="CR80" s="73">
        <f>IF(OR($B7="",$B7=0),"",(CQ42*($R7*(1+'Property Summary'!$I$22)^(CR$75-1)))*$C7)</f>
        <v>0</v>
      </c>
      <c r="CS80" s="73">
        <f>IF(OR($B7="",$B7=0),"",(CR42*($R7*(1+'Property Summary'!$I$22)^(CS$75-1)))*$C7)</f>
        <v>0</v>
      </c>
      <c r="CT80" s="73">
        <f>IF(OR($B7="",$B7=0),"",(CS42*($R7*(1+'Property Summary'!$I$22)^(CT$75-1)))*$C7)</f>
        <v>0</v>
      </c>
      <c r="CU80" s="73">
        <f>IF(OR($B7="",$B7=0),"",(CT42*($R7*(1+'Property Summary'!$I$22)^(CU$75-1)))*$C7)</f>
        <v>5155.3012764099685</v>
      </c>
      <c r="CV80" s="73">
        <f>IF(OR($B7="",$B7=0),"",(CU42*($R7*(1+'Property Summary'!$I$22)^(CV$75-1)))*$C7)</f>
        <v>0</v>
      </c>
      <c r="CW80" s="73">
        <f>IF(OR($B7="",$B7=0),"",(CV42*($R7*(1+'Property Summary'!$I$22)^(CW$75-1)))*$C7)</f>
        <v>0</v>
      </c>
      <c r="CX80" s="73">
        <f>IF(OR($B7="",$B7=0),"",(CW42*($R7*(1+'Property Summary'!$I$22)^(CX$75-1)))*$C7)</f>
        <v>0</v>
      </c>
      <c r="CY80" s="73">
        <f>IF(OR($B7="",$B7=0),"",(CX42*($R7*(1+'Property Summary'!$I$22)^(CY$75-1)))*$C7)</f>
        <v>0</v>
      </c>
      <c r="CZ80" s="73">
        <f>IF(OR($B7="",$B7=0),"",(CY42*($R7*(1+'Property Summary'!$I$22)^(CZ$75-1)))*$C7)</f>
        <v>0</v>
      </c>
      <c r="DA80" s="73">
        <f>IF(OR($B7="",$B7=0),"",(CZ42*($R7*(1+'Property Summary'!$I$22)^(DA$75-1)))*$C7)</f>
        <v>0</v>
      </c>
      <c r="DB80" s="73">
        <f>IF(OR($B7="",$B7=0),"",(DA42*($R7*(1+'Property Summary'!$I$22)^(DB$75-1)))*$C7)</f>
        <v>0</v>
      </c>
      <c r="DC80" s="73">
        <f>IF(OR($B7="",$B7=0),"",(DB42*($R7*(1+'Property Summary'!$I$22)^(DC$75-1)))*$C7)</f>
        <v>0</v>
      </c>
      <c r="DD80" s="73">
        <f>IF(OR($B7="",$B7=0),"",(DC42*($R7*(1+'Property Summary'!$I$22)^(DD$75-1)))*$C7)</f>
        <v>0</v>
      </c>
      <c r="DE80" s="73">
        <f>IF(OR($B7="",$B7=0),"",(DD42*($R7*(1+'Property Summary'!$I$22)^(DE$75-1)))*$C7)</f>
        <v>0</v>
      </c>
      <c r="DF80" s="73">
        <f>IF(OR($B7="",$B7=0),"",(DE42*($R7*(1+'Property Summary'!$I$22)^(DF$75-1)))*$C7)</f>
        <v>0</v>
      </c>
      <c r="DG80" s="73">
        <f>IF(OR($B7="",$B7=0),"",(DF42*($R7*(1+'Property Summary'!$I$22)^(DG$75-1)))*$C7)</f>
        <v>5258.4073019381676</v>
      </c>
      <c r="DH80" s="73">
        <f>IF(OR($B7="",$B7=0),"",(DG42*($R7*(1+'Property Summary'!$I$22)^(DH$75-1)))*$C7)</f>
        <v>0</v>
      </c>
      <c r="DI80" s="73">
        <f>IF(OR($B7="",$B7=0),"",(DH42*($R7*(1+'Property Summary'!$I$22)^(DI$75-1)))*$C7)</f>
        <v>0</v>
      </c>
      <c r="DJ80" s="73">
        <f>IF(OR($B7="",$B7=0),"",(DI42*($R7*(1+'Property Summary'!$I$22)^(DJ$75-1)))*$C7)</f>
        <v>0</v>
      </c>
      <c r="DK80" s="73">
        <f>IF(OR($B7="",$B7=0),"",(DJ42*($R7*(1+'Property Summary'!$I$22)^(DK$75-1)))*$C7)</f>
        <v>0</v>
      </c>
      <c r="DL80" s="73">
        <f>IF(OR($B7="",$B7=0),"",(DK42*($R7*(1+'Property Summary'!$I$22)^(DL$75-1)))*$C7)</f>
        <v>0</v>
      </c>
      <c r="DM80" s="73">
        <f>IF(OR($B7="",$B7=0),"",(DL42*($R7*(1+'Property Summary'!$I$22)^(DM$75-1)))*$C7)</f>
        <v>0</v>
      </c>
      <c r="DN80" s="73">
        <f>IF(OR($B7="",$B7=0),"",(DM42*($R7*(1+'Property Summary'!$I$22)^(DN$75-1)))*$C7)</f>
        <v>0</v>
      </c>
      <c r="DO80" s="73">
        <f>IF(OR($B7="",$B7=0),"",(DN42*($R7*(1+'Property Summary'!$I$22)^(DO$75-1)))*$C7)</f>
        <v>0</v>
      </c>
      <c r="DP80" s="73">
        <f>IF(OR($B7="",$B7=0),"",(DO42*($R7*(1+'Property Summary'!$I$22)^(DP$75-1)))*$C7)</f>
        <v>0</v>
      </c>
      <c r="DQ80" s="73">
        <f>IF(OR($B7="",$B7=0),"",(DP42*($R7*(1+'Property Summary'!$I$22)^(DQ$75-1)))*$C7)</f>
        <v>0</v>
      </c>
      <c r="DR80" s="73">
        <f>IF(OR($B7="",$B7=0),"",(DQ42*($R7*(1+'Property Summary'!$I$22)^(DR$75-1)))*$C7)</f>
        <v>0</v>
      </c>
      <c r="DS80" s="73">
        <f>IF(OR($B7="",$B7=0),"",(DR42*($R7*(1+'Property Summary'!$I$22)^(DS$75-1)))*$C7)</f>
        <v>5363.5754479769312</v>
      </c>
      <c r="DT80" s="73">
        <f>IF(OR($B7="",$B7=0),"",(DS42*($R7*(1+'Property Summary'!$I$22)^(DT$75-1)))*$C7)</f>
        <v>0</v>
      </c>
      <c r="DU80" s="73">
        <f>IF(OR($B7="",$B7=0),"",(DT42*($R7*(1+'Property Summary'!$I$22)^(DU$75-1)))*$C7)</f>
        <v>0</v>
      </c>
      <c r="DV80" s="73">
        <f>IF(OR($B7="",$B7=0),"",(DU42*($R7*(1+'Property Summary'!$I$22)^(DV$75-1)))*$C7)</f>
        <v>0</v>
      </c>
      <c r="DW80" s="73">
        <f>IF(OR($B7="",$B7=0),"",(DV42*($R7*(1+'Property Summary'!$I$22)^(DW$75-1)))*$C7)</f>
        <v>0</v>
      </c>
      <c r="DX80" s="73">
        <f>IF(OR($B7="",$B7=0),"",(DW42*($R7*(1+'Property Summary'!$I$22)^(DX$75-1)))*$C7)</f>
        <v>0</v>
      </c>
      <c r="DY80" s="73">
        <f>IF(OR($B7="",$B7=0),"",(DX42*($R7*(1+'Property Summary'!$I$22)^(DY$75-1)))*$C7)</f>
        <v>0</v>
      </c>
      <c r="DZ80" s="73">
        <f>IF(OR($B7="",$B7=0),"",(DY42*($R7*(1+'Property Summary'!$I$22)^(DZ$75-1)))*$C7)</f>
        <v>0</v>
      </c>
      <c r="EA80" s="73">
        <f>IF(OR($B7="",$B7=0),"",(DZ42*($R7*(1+'Property Summary'!$I$22)^(EA$75-1)))*$C7)</f>
        <v>0</v>
      </c>
      <c r="EB80" s="73">
        <f>IF(OR($B7="",$B7=0),"",(EA42*($R7*(1+'Property Summary'!$I$22)^(EB$75-1)))*$C7)</f>
        <v>0</v>
      </c>
      <c r="EC80" s="73">
        <f>IF(OR($B7="",$B7=0),"",(EB42*($R7*(1+'Property Summary'!$I$22)^(EC$75-1)))*$C7)</f>
        <v>0</v>
      </c>
      <c r="ED80" s="73">
        <f>IF(OR($B7="",$B7=0),"",(EC42*($R7*(1+'Property Summary'!$I$22)^(ED$75-1)))*$C7)</f>
        <v>0</v>
      </c>
      <c r="EE80" s="73">
        <f>IF(OR($B7="",$B7=0),"",(ED42*($R7*(1+'Property Summary'!$I$22)^(EE$75-1)))*$C7)</f>
        <v>5470.8469569364679</v>
      </c>
      <c r="EF80" s="73">
        <f>IF(OR($B7="",$B7=0),"",(EE42*($R7*(1+'Property Summary'!$I$22)^(EF$75-1)))*$C7)</f>
        <v>0</v>
      </c>
      <c r="EG80" s="73">
        <f>IF(OR($B7="",$B7=0),"",(EF42*($R7*(1+'Property Summary'!$I$22)^(EG$75-1)))*$C7)</f>
        <v>0</v>
      </c>
      <c r="EH80" s="73">
        <f>IF(OR($B7="",$B7=0),"",(EG42*($R7*(1+'Property Summary'!$I$22)^(EH$75-1)))*$C7)</f>
        <v>0</v>
      </c>
      <c r="EI80" s="73">
        <f>IF(OR($B7="",$B7=0),"",(EH42*($R7*(1+'Property Summary'!$I$22)^(EI$75-1)))*$C7)</f>
        <v>0</v>
      </c>
      <c r="EJ80" s="73">
        <f>IF(OR($B7="",$B7=0),"",(EI42*($R7*(1+'Property Summary'!$I$22)^(EJ$75-1)))*$C7)</f>
        <v>0</v>
      </c>
      <c r="EK80" s="73">
        <f>IF(OR($B7="",$B7=0),"",(EJ42*($R7*(1+'Property Summary'!$I$22)^(EK$75-1)))*$C7)</f>
        <v>0</v>
      </c>
      <c r="EL80" s="73">
        <f>IF(OR($B7="",$B7=0),"",(EK42*($R7*(1+'Property Summary'!$I$22)^(EL$75-1)))*$C7)</f>
        <v>0</v>
      </c>
      <c r="EM80" s="73">
        <f>IF(OR($B7="",$B7=0),"",(EL42*($R7*(1+'Property Summary'!$I$22)^(EM$75-1)))*$C7)</f>
        <v>0</v>
      </c>
      <c r="EN80" s="73">
        <f>IF(OR($B7="",$B7=0),"",(EM42*($R7*(1+'Property Summary'!$I$22)^(EN$75-1)))*$C7)</f>
        <v>0</v>
      </c>
      <c r="EO80" s="73">
        <f>IF(OR($B7="",$B7=0),"",(EN42*($R7*(1+'Property Summary'!$I$22)^(EO$75-1)))*$C7)</f>
        <v>0</v>
      </c>
      <c r="EP80" s="73">
        <f>IF(OR($B7="",$B7=0),"",(EO42*($R7*(1+'Property Summary'!$I$22)^(EP$75-1)))*$C7)</f>
        <v>0</v>
      </c>
      <c r="EQ80" s="73">
        <f>IF(OR($B7="",$B7=0),"",(EP42*($R7*(1+'Property Summary'!$I$22)^(EQ$75-1)))*$C7)</f>
        <v>5580.2638960751992</v>
      </c>
      <c r="ER80" s="73">
        <f>IF(OR($B7="",$B7=0),"",(EQ42*($R7*(1+'Property Summary'!$I$22)^(ER$75-1)))*$C7)</f>
        <v>0</v>
      </c>
      <c r="ES80" s="73">
        <f>IF(OR($B7="",$B7=0),"",(ER42*($R7*(1+'Property Summary'!$I$22)^(ES$75-1)))*$C7)</f>
        <v>0</v>
      </c>
      <c r="ET80" s="73">
        <f>IF(OR($B7="",$B7=0),"",(ES42*($R7*(1+'Property Summary'!$I$22)^(ET$75-1)))*$C7)</f>
        <v>0</v>
      </c>
      <c r="EU80" s="73">
        <f>IF(OR($B7="",$B7=0),"",(ET42*($R7*(1+'Property Summary'!$I$22)^(EU$75-1)))*$C7)</f>
        <v>0</v>
      </c>
      <c r="EV80" s="73">
        <f>IF(OR($B7="",$B7=0),"",(EU42*($R7*(1+'Property Summary'!$I$22)^(EV$75-1)))*$C7)</f>
        <v>0</v>
      </c>
      <c r="EW80" s="73">
        <f>IF(OR($B7="",$B7=0),"",(EV42*($R7*(1+'Property Summary'!$I$22)^(EW$75-1)))*$C7)</f>
        <v>0</v>
      </c>
      <c r="EX80" s="73">
        <f>IF(OR($B7="",$B7=0),"",(EW42*($R7*(1+'Property Summary'!$I$22)^(EX$75-1)))*$C7)</f>
        <v>0</v>
      </c>
      <c r="EY80" s="73">
        <f>IF(OR($B7="",$B7=0),"",(EX42*($R7*(1+'Property Summary'!$I$22)^(EY$75-1)))*$C7)</f>
        <v>0</v>
      </c>
      <c r="EZ80" s="73">
        <f>IF(OR($B7="",$B7=0),"",(EY42*($R7*(1+'Property Summary'!$I$22)^(EZ$75-1)))*$C7)</f>
        <v>0</v>
      </c>
      <c r="FA80" s="73">
        <f>IF(OR($B7="",$B7=0),"",(EZ42*($R7*(1+'Property Summary'!$I$22)^(FA$75-1)))*$C7)</f>
        <v>0</v>
      </c>
      <c r="FB80" s="73">
        <f>IF(OR($B7="",$B7=0),"",(FA42*($R7*(1+'Property Summary'!$I$22)^(FB$75-1)))*$C7)</f>
        <v>0</v>
      </c>
      <c r="FC80" s="73">
        <f>IF(OR($B7="",$B7=0),"",(FB42*($R7*(1+'Property Summary'!$I$22)^(FC$75-1)))*$C7)</f>
        <v>5691.8691739967026</v>
      </c>
      <c r="FD80" s="73">
        <f>IF(OR($B7="",$B7=0),"",(FC42*($R7*(1+'Property Summary'!$I$22)^(FD$75-1)))*$C7)</f>
        <v>0</v>
      </c>
      <c r="FE80" s="73">
        <f>IF(OR($B7="",$B7=0),"",(FD42*($R7*(1+'Property Summary'!$I$22)^(FE$75-1)))*$C7)</f>
        <v>0</v>
      </c>
      <c r="FF80" s="73">
        <f>IF(OR($B7="",$B7=0),"",(FE42*($R7*(1+'Property Summary'!$I$22)^(FF$75-1)))*$C7)</f>
        <v>0</v>
      </c>
      <c r="FG80" s="73">
        <f>IF(OR($B7="",$B7=0),"",(FF42*($R7*(1+'Property Summary'!$I$22)^(FG$75-1)))*$C7)</f>
        <v>0</v>
      </c>
      <c r="FH80" s="73">
        <f>IF(OR($B7="",$B7=0),"",(FG42*($R7*(1+'Property Summary'!$I$22)^(FH$75-1)))*$C7)</f>
        <v>0</v>
      </c>
      <c r="FI80" s="73">
        <f>IF(OR($B7="",$B7=0),"",(FH42*($R7*(1+'Property Summary'!$I$22)^(FI$75-1)))*$C7)</f>
        <v>0</v>
      </c>
      <c r="FJ80" s="73">
        <f>IF(OR($B7="",$B7=0),"",(FI42*($R7*(1+'Property Summary'!$I$22)^(FJ$75-1)))*$C7)</f>
        <v>0</v>
      </c>
      <c r="FK80" s="73">
        <f>IF(OR($B7="",$B7=0),"",(FJ42*($R7*(1+'Property Summary'!$I$22)^(FK$75-1)))*$C7)</f>
        <v>0</v>
      </c>
      <c r="FL80" s="73">
        <f>IF(OR($B7="",$B7=0),"",(FK42*($R7*(1+'Property Summary'!$I$22)^(FL$75-1)))*$C7)</f>
        <v>0</v>
      </c>
      <c r="FM80" s="73">
        <f>IF(OR($B7="",$B7=0),"",(FL42*($R7*(1+'Property Summary'!$I$22)^(FM$75-1)))*$C7)</f>
        <v>0</v>
      </c>
      <c r="FN80" s="73">
        <f>IF(OR($B7="",$B7=0),"",(FM42*($R7*(1+'Property Summary'!$I$22)^(FN$75-1)))*$C7)</f>
        <v>0</v>
      </c>
      <c r="FO80" s="73">
        <f>IF(OR($B7="",$B7=0),"",(FN42*($R7*(1+'Property Summary'!$I$22)^(FO$75-1)))*$C7)</f>
        <v>5805.7065574766375</v>
      </c>
      <c r="FP80" s="73">
        <f>IF(OR($B7="",$B7=0),"",(FO42*($R7*(1+'Property Summary'!$I$22)^(FP$75-1)))*$C7)</f>
        <v>0</v>
      </c>
      <c r="FQ80" s="73">
        <f>IF(OR($B7="",$B7=0),"",(FP42*($R7*(1+'Property Summary'!$I$22)^(FQ$75-1)))*$C7)</f>
        <v>0</v>
      </c>
      <c r="FR80" s="73">
        <f>IF(OR($B7="",$B7=0),"",(FQ42*($R7*(1+'Property Summary'!$I$22)^(FR$75-1)))*$C7)</f>
        <v>0</v>
      </c>
      <c r="FS80" s="73">
        <f>IF(OR($B7="",$B7=0),"",(FR42*($R7*(1+'Property Summary'!$I$22)^(FS$75-1)))*$C7)</f>
        <v>0</v>
      </c>
      <c r="FT80" s="73">
        <f>IF(OR($B7="",$B7=0),"",(FS42*($R7*(1+'Property Summary'!$I$22)^(FT$75-1)))*$C7)</f>
        <v>0</v>
      </c>
      <c r="FU80" s="73">
        <f>IF(OR($B7="",$B7=0),"",(FT42*($R7*(1+'Property Summary'!$I$22)^(FU$75-1)))*$C7)</f>
        <v>0</v>
      </c>
      <c r="FV80" s="73">
        <f>IF(OR($B7="",$B7=0),"",(FU42*($R7*(1+'Property Summary'!$I$22)^(FV$75-1)))*$C7)</f>
        <v>0</v>
      </c>
      <c r="FW80" s="73">
        <f>IF(OR($B7="",$B7=0),"",(FV42*($R7*(1+'Property Summary'!$I$22)^(FW$75-1)))*$C7)</f>
        <v>0</v>
      </c>
      <c r="FX80" s="73">
        <f>IF(OR($B7="",$B7=0),"",(FW42*($R7*(1+'Property Summary'!$I$22)^(FX$75-1)))*$C7)</f>
        <v>0</v>
      </c>
      <c r="FY80" s="73">
        <f>IF(OR($B7="",$B7=0),"",(FX42*($R7*(1+'Property Summary'!$I$22)^(FY$75-1)))*$C7)</f>
        <v>0</v>
      </c>
      <c r="FZ80" s="86">
        <f>IF(OR($B7="",$B7=0),"",(FY42*($R7*(1+'Property Summary'!$I$22)^(FZ$75-1)))*$C7)</f>
        <v>0</v>
      </c>
    </row>
    <row r="81" spans="2:182" x14ac:dyDescent="0.2">
      <c r="B81" s="85"/>
      <c r="C81" s="73">
        <f>IF(OR($B8="",$B8=0),"",(B43*($R8*(1+'Property Summary'!$I$22)^(C$75-1)))*$C8)</f>
        <v>0</v>
      </c>
      <c r="D81" s="73">
        <f>IF(OR($B8="",$B8=0),"",(C43*($R8*(1+'Property Summary'!$I$22)^(D$75-1)))*$C8)</f>
        <v>0</v>
      </c>
      <c r="E81" s="73">
        <f>IF(OR($B8="",$B8=0),"",(D43*($R8*(1+'Property Summary'!$I$22)^(E$75-1)))*$C8)</f>
        <v>0</v>
      </c>
      <c r="F81" s="73">
        <f>IF(OR($B8="",$B8=0),"",(E43*($R8*(1+'Property Summary'!$I$22)^(F$75-1)))*$C8)</f>
        <v>0</v>
      </c>
      <c r="G81" s="73">
        <f>IF(OR($B8="",$B8=0),"",(F43*($R8*(1+'Property Summary'!$I$22)^(G$75-1)))*$C8)</f>
        <v>0</v>
      </c>
      <c r="H81" s="73">
        <f>IF(OR($B8="",$B8=0),"",(G43*($R8*(1+'Property Summary'!$I$22)^(H$75-1)))*$C8)</f>
        <v>0</v>
      </c>
      <c r="I81" s="73">
        <f>IF(OR($B8="",$B8=0),"",(H43*($R8*(1+'Property Summary'!$I$22)^(I$75-1)))*$C8)</f>
        <v>0</v>
      </c>
      <c r="J81" s="73">
        <f>IF(OR($B8="",$B8=0),"",(I43*($R8*(1+'Property Summary'!$I$22)^(J$75-1)))*$C8)</f>
        <v>0</v>
      </c>
      <c r="K81" s="73">
        <f>IF(OR($B8="",$B8=0),"",(J43*($R8*(1+'Property Summary'!$I$22)^(K$75-1)))*$C8)</f>
        <v>0</v>
      </c>
      <c r="L81" s="73">
        <f>IF(OR($B8="",$B8=0),"",(K43*($R8*(1+'Property Summary'!$I$22)^(L$75-1)))*$C8)</f>
        <v>0</v>
      </c>
      <c r="M81" s="73">
        <f>IF(OR($B8="",$B8=0),"",(L43*($R8*(1+'Property Summary'!$I$22)^(M$75-1)))*$C8)</f>
        <v>0</v>
      </c>
      <c r="N81" s="73">
        <f>IF(OR($B8="",$B8=0),"",(M43*($R8*(1+'Property Summary'!$I$22)^(N$75-1)))*$C8)</f>
        <v>0</v>
      </c>
      <c r="O81" s="73">
        <f>IF(OR($B8="",$B8=0),"",(N43*($R8*(1+'Property Summary'!$I$22)^(O$75-1)))*$C8)</f>
        <v>1958.4</v>
      </c>
      <c r="P81" s="73">
        <f>IF(OR($B8="",$B8=0),"",(O43*($R8*(1+'Property Summary'!$I$22)^(P$75-1)))*$C8)</f>
        <v>0</v>
      </c>
      <c r="Q81" s="73">
        <f>IF(OR($B8="",$B8=0),"",(P43*($R8*(1+'Property Summary'!$I$22)^(Q$75-1)))*$C8)</f>
        <v>0</v>
      </c>
      <c r="R81" s="73">
        <f>IF(OR($B8="",$B8=0),"",(Q43*($R8*(1+'Property Summary'!$I$22)^(R$75-1)))*$C8)</f>
        <v>0</v>
      </c>
      <c r="S81" s="73">
        <f>IF(OR($B8="",$B8=0),"",(R43*($R8*(1+'Property Summary'!$I$22)^(S$75-1)))*$C8)</f>
        <v>0</v>
      </c>
      <c r="T81" s="73">
        <f>IF(OR($B8="",$B8=0),"",(S43*($R8*(1+'Property Summary'!$I$22)^(T$75-1)))*$C8)</f>
        <v>0</v>
      </c>
      <c r="U81" s="73">
        <f>IF(OR($B8="",$B8=0),"",(T43*($R8*(1+'Property Summary'!$I$22)^(U$75-1)))*$C8)</f>
        <v>0</v>
      </c>
      <c r="V81" s="73">
        <f>IF(OR($B8="",$B8=0),"",(U43*($R8*(1+'Property Summary'!$I$22)^(V$75-1)))*$C8)</f>
        <v>0</v>
      </c>
      <c r="W81" s="73">
        <f>IF(OR($B8="",$B8=0),"",(V43*($R8*(1+'Property Summary'!$I$22)^(W$75-1)))*$C8)</f>
        <v>0</v>
      </c>
      <c r="X81" s="73">
        <f>IF(OR($B8="",$B8=0),"",(W43*($R8*(1+'Property Summary'!$I$22)^(X$75-1)))*$C8)</f>
        <v>0</v>
      </c>
      <c r="Y81" s="73">
        <f>IF(OR($B8="",$B8=0),"",(X43*($R8*(1+'Property Summary'!$I$22)^(Y$75-1)))*$C8)</f>
        <v>0</v>
      </c>
      <c r="Z81" s="73">
        <f>IF(OR($B8="",$B8=0),"",(Y43*($R8*(1+'Property Summary'!$I$22)^(Z$75-1)))*$C8)</f>
        <v>0</v>
      </c>
      <c r="AA81" s="73">
        <f>IF(OR($B8="",$B8=0),"",(Z43*($R8*(1+'Property Summary'!$I$22)^(AA$75-1)))*$C8)</f>
        <v>1997.568</v>
      </c>
      <c r="AB81" s="73">
        <f>IF(OR($B8="",$B8=0),"",(AA43*($R8*(1+'Property Summary'!$I$22)^(AB$75-1)))*$C8)</f>
        <v>0</v>
      </c>
      <c r="AC81" s="73">
        <f>IF(OR($B8="",$B8=0),"",(AB43*($R8*(1+'Property Summary'!$I$22)^(AC$75-1)))*$C8)</f>
        <v>0</v>
      </c>
      <c r="AD81" s="73">
        <f>IF(OR($B8="",$B8=0),"",(AC43*($R8*(1+'Property Summary'!$I$22)^(AD$75-1)))*$C8)</f>
        <v>0</v>
      </c>
      <c r="AE81" s="73">
        <f>IF(OR($B8="",$B8=0),"",(AD43*($R8*(1+'Property Summary'!$I$22)^(AE$75-1)))*$C8)</f>
        <v>0</v>
      </c>
      <c r="AF81" s="73">
        <f>IF(OR($B8="",$B8=0),"",(AE43*($R8*(1+'Property Summary'!$I$22)^(AF$75-1)))*$C8)</f>
        <v>0</v>
      </c>
      <c r="AG81" s="73">
        <f>IF(OR($B8="",$B8=0),"",(AF43*($R8*(1+'Property Summary'!$I$22)^(AG$75-1)))*$C8)</f>
        <v>0</v>
      </c>
      <c r="AH81" s="73">
        <f>IF(OR($B8="",$B8=0),"",(AG43*($R8*(1+'Property Summary'!$I$22)^(AH$75-1)))*$C8)</f>
        <v>0</v>
      </c>
      <c r="AI81" s="73">
        <f>IF(OR($B8="",$B8=0),"",(AH43*($R8*(1+'Property Summary'!$I$22)^(AI$75-1)))*$C8)</f>
        <v>0</v>
      </c>
      <c r="AJ81" s="73">
        <f>IF(OR($B8="",$B8=0),"",(AI43*($R8*(1+'Property Summary'!$I$22)^(AJ$75-1)))*$C8)</f>
        <v>0</v>
      </c>
      <c r="AK81" s="73">
        <f>IF(OR($B8="",$B8=0),"",(AJ43*($R8*(1+'Property Summary'!$I$22)^(AK$75-1)))*$C8)</f>
        <v>0</v>
      </c>
      <c r="AL81" s="73">
        <f>IF(OR($B8="",$B8=0),"",(AK43*($R8*(1+'Property Summary'!$I$22)^(AL$75-1)))*$C8)</f>
        <v>0</v>
      </c>
      <c r="AM81" s="73">
        <f>IF(OR($B8="",$B8=0),"",(AL43*($R8*(1+'Property Summary'!$I$22)^(AM$75-1)))*$C8)</f>
        <v>2037.5193599999998</v>
      </c>
      <c r="AN81" s="73">
        <f>IF(OR($B8="",$B8=0),"",(AM43*($R8*(1+'Property Summary'!$I$22)^(AN$75-1)))*$C8)</f>
        <v>0</v>
      </c>
      <c r="AO81" s="73">
        <f>IF(OR($B8="",$B8=0),"",(AN43*($R8*(1+'Property Summary'!$I$22)^(AO$75-1)))*$C8)</f>
        <v>0</v>
      </c>
      <c r="AP81" s="73">
        <f>IF(OR($B8="",$B8=0),"",(AO43*($R8*(1+'Property Summary'!$I$22)^(AP$75-1)))*$C8)</f>
        <v>0</v>
      </c>
      <c r="AQ81" s="73">
        <f>IF(OR($B8="",$B8=0),"",(AP43*($R8*(1+'Property Summary'!$I$22)^(AQ$75-1)))*$C8)</f>
        <v>0</v>
      </c>
      <c r="AR81" s="73">
        <f>IF(OR($B8="",$B8=0),"",(AQ43*($R8*(1+'Property Summary'!$I$22)^(AR$75-1)))*$C8)</f>
        <v>0</v>
      </c>
      <c r="AS81" s="73">
        <f>IF(OR($B8="",$B8=0),"",(AR43*($R8*(1+'Property Summary'!$I$22)^(AS$75-1)))*$C8)</f>
        <v>0</v>
      </c>
      <c r="AT81" s="73">
        <f>IF(OR($B8="",$B8=0),"",(AS43*($R8*(1+'Property Summary'!$I$22)^(AT$75-1)))*$C8)</f>
        <v>0</v>
      </c>
      <c r="AU81" s="73">
        <f>IF(OR($B8="",$B8=0),"",(AT43*($R8*(1+'Property Summary'!$I$22)^(AU$75-1)))*$C8)</f>
        <v>0</v>
      </c>
      <c r="AV81" s="73">
        <f>IF(OR($B8="",$B8=0),"",(AU43*($R8*(1+'Property Summary'!$I$22)^(AV$75-1)))*$C8)</f>
        <v>0</v>
      </c>
      <c r="AW81" s="73">
        <f>IF(OR($B8="",$B8=0),"",(AV43*($R8*(1+'Property Summary'!$I$22)^(AW$75-1)))*$C8)</f>
        <v>0</v>
      </c>
      <c r="AX81" s="73">
        <f>IF(OR($B8="",$B8=0),"",(AW43*($R8*(1+'Property Summary'!$I$22)^(AX$75-1)))*$C8)</f>
        <v>0</v>
      </c>
      <c r="AY81" s="73">
        <f>IF(OR($B8="",$B8=0),"",(AX43*($R8*(1+'Property Summary'!$I$22)^(AY$75-1)))*$C8)</f>
        <v>2078.2697472</v>
      </c>
      <c r="AZ81" s="73">
        <f>IF(OR($B8="",$B8=0),"",(AY43*($R8*(1+'Property Summary'!$I$22)^(AZ$75-1)))*$C8)</f>
        <v>0</v>
      </c>
      <c r="BA81" s="73">
        <f>IF(OR($B8="",$B8=0),"",(AZ43*($R8*(1+'Property Summary'!$I$22)^(BA$75-1)))*$C8)</f>
        <v>0</v>
      </c>
      <c r="BB81" s="73">
        <f>IF(OR($B8="",$B8=0),"",(BA43*($R8*(1+'Property Summary'!$I$22)^(BB$75-1)))*$C8)</f>
        <v>0</v>
      </c>
      <c r="BC81" s="73">
        <f>IF(OR($B8="",$B8=0),"",(BB43*($R8*(1+'Property Summary'!$I$22)^(BC$75-1)))*$C8)</f>
        <v>0</v>
      </c>
      <c r="BD81" s="73">
        <f>IF(OR($B8="",$B8=0),"",(BC43*($R8*(1+'Property Summary'!$I$22)^(BD$75-1)))*$C8)</f>
        <v>0</v>
      </c>
      <c r="BE81" s="73">
        <f>IF(OR($B8="",$B8=0),"",(BD43*($R8*(1+'Property Summary'!$I$22)^(BE$75-1)))*$C8)</f>
        <v>0</v>
      </c>
      <c r="BF81" s="73">
        <f>IF(OR($B8="",$B8=0),"",(BE43*($R8*(1+'Property Summary'!$I$22)^(BF$75-1)))*$C8)</f>
        <v>0</v>
      </c>
      <c r="BG81" s="73">
        <f>IF(OR($B8="",$B8=0),"",(BF43*($R8*(1+'Property Summary'!$I$22)^(BG$75-1)))*$C8)</f>
        <v>0</v>
      </c>
      <c r="BH81" s="73">
        <f>IF(OR($B8="",$B8=0),"",(BG43*($R8*(1+'Property Summary'!$I$22)^(BH$75-1)))*$C8)</f>
        <v>0</v>
      </c>
      <c r="BI81" s="73">
        <f>IF(OR($B8="",$B8=0),"",(BH43*($R8*(1+'Property Summary'!$I$22)^(BI$75-1)))*$C8)</f>
        <v>0</v>
      </c>
      <c r="BJ81" s="73">
        <f>IF(OR($B8="",$B8=0),"",(BI43*($R8*(1+'Property Summary'!$I$22)^(BJ$75-1)))*$C8)</f>
        <v>0</v>
      </c>
      <c r="BK81" s="73">
        <f>IF(OR($B8="",$B8=0),"",(BJ43*($R8*(1+'Property Summary'!$I$22)^(BK$75-1)))*$C8)</f>
        <v>2119.8351421440002</v>
      </c>
      <c r="BL81" s="73">
        <f>IF(OR($B8="",$B8=0),"",(BK43*($R8*(1+'Property Summary'!$I$22)^(BL$75-1)))*$C8)</f>
        <v>0</v>
      </c>
      <c r="BM81" s="73">
        <f>IF(OR($B8="",$B8=0),"",(BL43*($R8*(1+'Property Summary'!$I$22)^(BM$75-1)))*$C8)</f>
        <v>0</v>
      </c>
      <c r="BN81" s="73">
        <f>IF(OR($B8="",$B8=0),"",(BM43*($R8*(1+'Property Summary'!$I$22)^(BN$75-1)))*$C8)</f>
        <v>0</v>
      </c>
      <c r="BO81" s="73">
        <f>IF(OR($B8="",$B8=0),"",(BN43*($R8*(1+'Property Summary'!$I$22)^(BO$75-1)))*$C8)</f>
        <v>0</v>
      </c>
      <c r="BP81" s="73">
        <f>IF(OR($B8="",$B8=0),"",(BO43*($R8*(1+'Property Summary'!$I$22)^(BP$75-1)))*$C8)</f>
        <v>0</v>
      </c>
      <c r="BQ81" s="73">
        <f>IF(OR($B8="",$B8=0),"",(BP43*($R8*(1+'Property Summary'!$I$22)^(BQ$75-1)))*$C8)</f>
        <v>0</v>
      </c>
      <c r="BR81" s="73">
        <f>IF(OR($B8="",$B8=0),"",(BQ43*($R8*(1+'Property Summary'!$I$22)^(BR$75-1)))*$C8)</f>
        <v>0</v>
      </c>
      <c r="BS81" s="73">
        <f>IF(OR($B8="",$B8=0),"",(BR43*($R8*(1+'Property Summary'!$I$22)^(BS$75-1)))*$C8)</f>
        <v>0</v>
      </c>
      <c r="BT81" s="73">
        <f>IF(OR($B8="",$B8=0),"",(BS43*($R8*(1+'Property Summary'!$I$22)^(BT$75-1)))*$C8)</f>
        <v>0</v>
      </c>
      <c r="BU81" s="73">
        <f>IF(OR($B8="",$B8=0),"",(BT43*($R8*(1+'Property Summary'!$I$22)^(BU$75-1)))*$C8)</f>
        <v>0</v>
      </c>
      <c r="BV81" s="73">
        <f>IF(OR($B8="",$B8=0),"",(BU43*($R8*(1+'Property Summary'!$I$22)^(BV$75-1)))*$C8)</f>
        <v>0</v>
      </c>
      <c r="BW81" s="73">
        <f>IF(OR($B8="",$B8=0),"",(BV43*($R8*(1+'Property Summary'!$I$22)^(BW$75-1)))*$C8)</f>
        <v>2162.2318449868803</v>
      </c>
      <c r="BX81" s="73">
        <f>IF(OR($B8="",$B8=0),"",(BW43*($R8*(1+'Property Summary'!$I$22)^(BX$75-1)))*$C8)</f>
        <v>0</v>
      </c>
      <c r="BY81" s="73">
        <f>IF(OR($B8="",$B8=0),"",(BX43*($R8*(1+'Property Summary'!$I$22)^(BY$75-1)))*$C8)</f>
        <v>0</v>
      </c>
      <c r="BZ81" s="73">
        <f>IF(OR($B8="",$B8=0),"",(BY43*($R8*(1+'Property Summary'!$I$22)^(BZ$75-1)))*$C8)</f>
        <v>0</v>
      </c>
      <c r="CA81" s="73">
        <f>IF(OR($B8="",$B8=0),"",(BZ43*($R8*(1+'Property Summary'!$I$22)^(CA$75-1)))*$C8)</f>
        <v>0</v>
      </c>
      <c r="CB81" s="73">
        <f>IF(OR($B8="",$B8=0),"",(CA43*($R8*(1+'Property Summary'!$I$22)^(CB$75-1)))*$C8)</f>
        <v>0</v>
      </c>
      <c r="CC81" s="73">
        <f>IF(OR($B8="",$B8=0),"",(CB43*($R8*(1+'Property Summary'!$I$22)^(CC$75-1)))*$C8)</f>
        <v>0</v>
      </c>
      <c r="CD81" s="73">
        <f>IF(OR($B8="",$B8=0),"",(CC43*($R8*(1+'Property Summary'!$I$22)^(CD$75-1)))*$C8)</f>
        <v>0</v>
      </c>
      <c r="CE81" s="73">
        <f>IF(OR($B8="",$B8=0),"",(CD43*($R8*(1+'Property Summary'!$I$22)^(CE$75-1)))*$C8)</f>
        <v>0</v>
      </c>
      <c r="CF81" s="73">
        <f>IF(OR($B8="",$B8=0),"",(CE43*($R8*(1+'Property Summary'!$I$22)^(CF$75-1)))*$C8)</f>
        <v>0</v>
      </c>
      <c r="CG81" s="73">
        <f>IF(OR($B8="",$B8=0),"",(CF43*($R8*(1+'Property Summary'!$I$22)^(CG$75-1)))*$C8)</f>
        <v>0</v>
      </c>
      <c r="CH81" s="73">
        <f>IF(OR($B8="",$B8=0),"",(CG43*($R8*(1+'Property Summary'!$I$22)^(CH$75-1)))*$C8)</f>
        <v>0</v>
      </c>
      <c r="CI81" s="73">
        <f>IF(OR($B8="",$B8=0),"",(CH43*($R8*(1+'Property Summary'!$I$22)^(CI$75-1)))*$C8)</f>
        <v>2205.4764818866174</v>
      </c>
      <c r="CJ81" s="73">
        <f>IF(OR($B8="",$B8=0),"",(CI43*($R8*(1+'Property Summary'!$I$22)^(CJ$75-1)))*$C8)</f>
        <v>0</v>
      </c>
      <c r="CK81" s="73">
        <f>IF(OR($B8="",$B8=0),"",(CJ43*($R8*(1+'Property Summary'!$I$22)^(CK$75-1)))*$C8)</f>
        <v>0</v>
      </c>
      <c r="CL81" s="73">
        <f>IF(OR($B8="",$B8=0),"",(CK43*($R8*(1+'Property Summary'!$I$22)^(CL$75-1)))*$C8)</f>
        <v>0</v>
      </c>
      <c r="CM81" s="73">
        <f>IF(OR($B8="",$B8=0),"",(CL43*($R8*(1+'Property Summary'!$I$22)^(CM$75-1)))*$C8)</f>
        <v>0</v>
      </c>
      <c r="CN81" s="73">
        <f>IF(OR($B8="",$B8=0),"",(CM43*($R8*(1+'Property Summary'!$I$22)^(CN$75-1)))*$C8)</f>
        <v>0</v>
      </c>
      <c r="CO81" s="73">
        <f>IF(OR($B8="",$B8=0),"",(CN43*($R8*(1+'Property Summary'!$I$22)^(CO$75-1)))*$C8)</f>
        <v>0</v>
      </c>
      <c r="CP81" s="73">
        <f>IF(OR($B8="",$B8=0),"",(CO43*($R8*(1+'Property Summary'!$I$22)^(CP$75-1)))*$C8)</f>
        <v>0</v>
      </c>
      <c r="CQ81" s="73">
        <f>IF(OR($B8="",$B8=0),"",(CP43*($R8*(1+'Property Summary'!$I$22)^(CQ$75-1)))*$C8)</f>
        <v>0</v>
      </c>
      <c r="CR81" s="73">
        <f>IF(OR($B8="",$B8=0),"",(CQ43*($R8*(1+'Property Summary'!$I$22)^(CR$75-1)))*$C8)</f>
        <v>0</v>
      </c>
      <c r="CS81" s="73">
        <f>IF(OR($B8="",$B8=0),"",(CR43*($R8*(1+'Property Summary'!$I$22)^(CS$75-1)))*$C8)</f>
        <v>0</v>
      </c>
      <c r="CT81" s="73">
        <f>IF(OR($B8="",$B8=0),"",(CS43*($R8*(1+'Property Summary'!$I$22)^(CT$75-1)))*$C8)</f>
        <v>0</v>
      </c>
      <c r="CU81" s="73">
        <f>IF(OR($B8="",$B8=0),"",(CT43*($R8*(1+'Property Summary'!$I$22)^(CU$75-1)))*$C8)</f>
        <v>2249.5860115243499</v>
      </c>
      <c r="CV81" s="73">
        <f>IF(OR($B8="",$B8=0),"",(CU43*($R8*(1+'Property Summary'!$I$22)^(CV$75-1)))*$C8)</f>
        <v>0</v>
      </c>
      <c r="CW81" s="73">
        <f>IF(OR($B8="",$B8=0),"",(CV43*($R8*(1+'Property Summary'!$I$22)^(CW$75-1)))*$C8)</f>
        <v>0</v>
      </c>
      <c r="CX81" s="73">
        <f>IF(OR($B8="",$B8=0),"",(CW43*($R8*(1+'Property Summary'!$I$22)^(CX$75-1)))*$C8)</f>
        <v>0</v>
      </c>
      <c r="CY81" s="73">
        <f>IF(OR($B8="",$B8=0),"",(CX43*($R8*(1+'Property Summary'!$I$22)^(CY$75-1)))*$C8)</f>
        <v>0</v>
      </c>
      <c r="CZ81" s="73">
        <f>IF(OR($B8="",$B8=0),"",(CY43*($R8*(1+'Property Summary'!$I$22)^(CZ$75-1)))*$C8)</f>
        <v>0</v>
      </c>
      <c r="DA81" s="73">
        <f>IF(OR($B8="",$B8=0),"",(CZ43*($R8*(1+'Property Summary'!$I$22)^(DA$75-1)))*$C8)</f>
        <v>0</v>
      </c>
      <c r="DB81" s="73">
        <f>IF(OR($B8="",$B8=0),"",(DA43*($R8*(1+'Property Summary'!$I$22)^(DB$75-1)))*$C8)</f>
        <v>0</v>
      </c>
      <c r="DC81" s="73">
        <f>IF(OR($B8="",$B8=0),"",(DB43*($R8*(1+'Property Summary'!$I$22)^(DC$75-1)))*$C8)</f>
        <v>0</v>
      </c>
      <c r="DD81" s="73">
        <f>IF(OR($B8="",$B8=0),"",(DC43*($R8*(1+'Property Summary'!$I$22)^(DD$75-1)))*$C8)</f>
        <v>0</v>
      </c>
      <c r="DE81" s="73">
        <f>IF(OR($B8="",$B8=0),"",(DD43*($R8*(1+'Property Summary'!$I$22)^(DE$75-1)))*$C8)</f>
        <v>0</v>
      </c>
      <c r="DF81" s="73">
        <f>IF(OR($B8="",$B8=0),"",(DE43*($R8*(1+'Property Summary'!$I$22)^(DF$75-1)))*$C8)</f>
        <v>0</v>
      </c>
      <c r="DG81" s="73">
        <f>IF(OR($B8="",$B8=0),"",(DF43*($R8*(1+'Property Summary'!$I$22)^(DG$75-1)))*$C8)</f>
        <v>2294.5777317548368</v>
      </c>
      <c r="DH81" s="73">
        <f>IF(OR($B8="",$B8=0),"",(DG43*($R8*(1+'Property Summary'!$I$22)^(DH$75-1)))*$C8)</f>
        <v>0</v>
      </c>
      <c r="DI81" s="73">
        <f>IF(OR($B8="",$B8=0),"",(DH43*($R8*(1+'Property Summary'!$I$22)^(DI$75-1)))*$C8)</f>
        <v>0</v>
      </c>
      <c r="DJ81" s="73">
        <f>IF(OR($B8="",$B8=0),"",(DI43*($R8*(1+'Property Summary'!$I$22)^(DJ$75-1)))*$C8)</f>
        <v>0</v>
      </c>
      <c r="DK81" s="73">
        <f>IF(OR($B8="",$B8=0),"",(DJ43*($R8*(1+'Property Summary'!$I$22)^(DK$75-1)))*$C8)</f>
        <v>0</v>
      </c>
      <c r="DL81" s="73">
        <f>IF(OR($B8="",$B8=0),"",(DK43*($R8*(1+'Property Summary'!$I$22)^(DL$75-1)))*$C8)</f>
        <v>0</v>
      </c>
      <c r="DM81" s="73">
        <f>IF(OR($B8="",$B8=0),"",(DL43*($R8*(1+'Property Summary'!$I$22)^(DM$75-1)))*$C8)</f>
        <v>0</v>
      </c>
      <c r="DN81" s="73">
        <f>IF(OR($B8="",$B8=0),"",(DM43*($R8*(1+'Property Summary'!$I$22)^(DN$75-1)))*$C8)</f>
        <v>0</v>
      </c>
      <c r="DO81" s="73">
        <f>IF(OR($B8="",$B8=0),"",(DN43*($R8*(1+'Property Summary'!$I$22)^(DO$75-1)))*$C8)</f>
        <v>0</v>
      </c>
      <c r="DP81" s="73">
        <f>IF(OR($B8="",$B8=0),"",(DO43*($R8*(1+'Property Summary'!$I$22)^(DP$75-1)))*$C8)</f>
        <v>0</v>
      </c>
      <c r="DQ81" s="73">
        <f>IF(OR($B8="",$B8=0),"",(DP43*($R8*(1+'Property Summary'!$I$22)^(DQ$75-1)))*$C8)</f>
        <v>0</v>
      </c>
      <c r="DR81" s="73">
        <f>IF(OR($B8="",$B8=0),"",(DQ43*($R8*(1+'Property Summary'!$I$22)^(DR$75-1)))*$C8)</f>
        <v>0</v>
      </c>
      <c r="DS81" s="73">
        <f>IF(OR($B8="",$B8=0),"",(DR43*($R8*(1+'Property Summary'!$I$22)^(DS$75-1)))*$C8)</f>
        <v>2340.4692863899336</v>
      </c>
      <c r="DT81" s="73">
        <f>IF(OR($B8="",$B8=0),"",(DS43*($R8*(1+'Property Summary'!$I$22)^(DT$75-1)))*$C8)</f>
        <v>0</v>
      </c>
      <c r="DU81" s="73">
        <f>IF(OR($B8="",$B8=0),"",(DT43*($R8*(1+'Property Summary'!$I$22)^(DU$75-1)))*$C8)</f>
        <v>0</v>
      </c>
      <c r="DV81" s="73">
        <f>IF(OR($B8="",$B8=0),"",(DU43*($R8*(1+'Property Summary'!$I$22)^(DV$75-1)))*$C8)</f>
        <v>0</v>
      </c>
      <c r="DW81" s="73">
        <f>IF(OR($B8="",$B8=0),"",(DV43*($R8*(1+'Property Summary'!$I$22)^(DW$75-1)))*$C8)</f>
        <v>0</v>
      </c>
      <c r="DX81" s="73">
        <f>IF(OR($B8="",$B8=0),"",(DW43*($R8*(1+'Property Summary'!$I$22)^(DX$75-1)))*$C8)</f>
        <v>0</v>
      </c>
      <c r="DY81" s="73">
        <f>IF(OR($B8="",$B8=0),"",(DX43*($R8*(1+'Property Summary'!$I$22)^(DY$75-1)))*$C8)</f>
        <v>0</v>
      </c>
      <c r="DZ81" s="73">
        <f>IF(OR($B8="",$B8=0),"",(DY43*($R8*(1+'Property Summary'!$I$22)^(DZ$75-1)))*$C8)</f>
        <v>0</v>
      </c>
      <c r="EA81" s="73">
        <f>IF(OR($B8="",$B8=0),"",(DZ43*($R8*(1+'Property Summary'!$I$22)^(EA$75-1)))*$C8)</f>
        <v>0</v>
      </c>
      <c r="EB81" s="73">
        <f>IF(OR($B8="",$B8=0),"",(EA43*($R8*(1+'Property Summary'!$I$22)^(EB$75-1)))*$C8)</f>
        <v>0</v>
      </c>
      <c r="EC81" s="73">
        <f>IF(OR($B8="",$B8=0),"",(EB43*($R8*(1+'Property Summary'!$I$22)^(EC$75-1)))*$C8)</f>
        <v>0</v>
      </c>
      <c r="ED81" s="73">
        <f>IF(OR($B8="",$B8=0),"",(EC43*($R8*(1+'Property Summary'!$I$22)^(ED$75-1)))*$C8)</f>
        <v>0</v>
      </c>
      <c r="EE81" s="73">
        <f>IF(OR($B8="",$B8=0),"",(ED43*($R8*(1+'Property Summary'!$I$22)^(EE$75-1)))*$C8)</f>
        <v>2387.2786721177317</v>
      </c>
      <c r="EF81" s="73">
        <f>IF(OR($B8="",$B8=0),"",(EE43*($R8*(1+'Property Summary'!$I$22)^(EF$75-1)))*$C8)</f>
        <v>0</v>
      </c>
      <c r="EG81" s="73">
        <f>IF(OR($B8="",$B8=0),"",(EF43*($R8*(1+'Property Summary'!$I$22)^(EG$75-1)))*$C8)</f>
        <v>0</v>
      </c>
      <c r="EH81" s="73">
        <f>IF(OR($B8="",$B8=0),"",(EG43*($R8*(1+'Property Summary'!$I$22)^(EH$75-1)))*$C8)</f>
        <v>0</v>
      </c>
      <c r="EI81" s="73">
        <f>IF(OR($B8="",$B8=0),"",(EH43*($R8*(1+'Property Summary'!$I$22)^(EI$75-1)))*$C8)</f>
        <v>0</v>
      </c>
      <c r="EJ81" s="73">
        <f>IF(OR($B8="",$B8=0),"",(EI43*($R8*(1+'Property Summary'!$I$22)^(EJ$75-1)))*$C8)</f>
        <v>0</v>
      </c>
      <c r="EK81" s="73">
        <f>IF(OR($B8="",$B8=0),"",(EJ43*($R8*(1+'Property Summary'!$I$22)^(EK$75-1)))*$C8)</f>
        <v>0</v>
      </c>
      <c r="EL81" s="73">
        <f>IF(OR($B8="",$B8=0),"",(EK43*($R8*(1+'Property Summary'!$I$22)^(EL$75-1)))*$C8)</f>
        <v>0</v>
      </c>
      <c r="EM81" s="73">
        <f>IF(OR($B8="",$B8=0),"",(EL43*($R8*(1+'Property Summary'!$I$22)^(EM$75-1)))*$C8)</f>
        <v>0</v>
      </c>
      <c r="EN81" s="73">
        <f>IF(OR($B8="",$B8=0),"",(EM43*($R8*(1+'Property Summary'!$I$22)^(EN$75-1)))*$C8)</f>
        <v>0</v>
      </c>
      <c r="EO81" s="73">
        <f>IF(OR($B8="",$B8=0),"",(EN43*($R8*(1+'Property Summary'!$I$22)^(EO$75-1)))*$C8)</f>
        <v>0</v>
      </c>
      <c r="EP81" s="73">
        <f>IF(OR($B8="",$B8=0),"",(EO43*($R8*(1+'Property Summary'!$I$22)^(EP$75-1)))*$C8)</f>
        <v>0</v>
      </c>
      <c r="EQ81" s="73">
        <f>IF(OR($B8="",$B8=0),"",(EP43*($R8*(1+'Property Summary'!$I$22)^(EQ$75-1)))*$C8)</f>
        <v>2435.0242455600869</v>
      </c>
      <c r="ER81" s="73">
        <f>IF(OR($B8="",$B8=0),"",(EQ43*($R8*(1+'Property Summary'!$I$22)^(ER$75-1)))*$C8)</f>
        <v>0</v>
      </c>
      <c r="ES81" s="73">
        <f>IF(OR($B8="",$B8=0),"",(ER43*($R8*(1+'Property Summary'!$I$22)^(ES$75-1)))*$C8)</f>
        <v>0</v>
      </c>
      <c r="ET81" s="73">
        <f>IF(OR($B8="",$B8=0),"",(ES43*($R8*(1+'Property Summary'!$I$22)^(ET$75-1)))*$C8)</f>
        <v>0</v>
      </c>
      <c r="EU81" s="73">
        <f>IF(OR($B8="",$B8=0),"",(ET43*($R8*(1+'Property Summary'!$I$22)^(EU$75-1)))*$C8)</f>
        <v>0</v>
      </c>
      <c r="EV81" s="73">
        <f>IF(OR($B8="",$B8=0),"",(EU43*($R8*(1+'Property Summary'!$I$22)^(EV$75-1)))*$C8)</f>
        <v>0</v>
      </c>
      <c r="EW81" s="73">
        <f>IF(OR($B8="",$B8=0),"",(EV43*($R8*(1+'Property Summary'!$I$22)^(EW$75-1)))*$C8)</f>
        <v>0</v>
      </c>
      <c r="EX81" s="73">
        <f>IF(OR($B8="",$B8=0),"",(EW43*($R8*(1+'Property Summary'!$I$22)^(EX$75-1)))*$C8)</f>
        <v>0</v>
      </c>
      <c r="EY81" s="73">
        <f>IF(OR($B8="",$B8=0),"",(EX43*($R8*(1+'Property Summary'!$I$22)^(EY$75-1)))*$C8)</f>
        <v>0</v>
      </c>
      <c r="EZ81" s="73">
        <f>IF(OR($B8="",$B8=0),"",(EY43*($R8*(1+'Property Summary'!$I$22)^(EZ$75-1)))*$C8)</f>
        <v>0</v>
      </c>
      <c r="FA81" s="73">
        <f>IF(OR($B8="",$B8=0),"",(EZ43*($R8*(1+'Property Summary'!$I$22)^(FA$75-1)))*$C8)</f>
        <v>0</v>
      </c>
      <c r="FB81" s="73">
        <f>IF(OR($B8="",$B8=0),"",(FA43*($R8*(1+'Property Summary'!$I$22)^(FB$75-1)))*$C8)</f>
        <v>0</v>
      </c>
      <c r="FC81" s="73">
        <f>IF(OR($B8="",$B8=0),"",(FB43*($R8*(1+'Property Summary'!$I$22)^(FC$75-1)))*$C8)</f>
        <v>2483.7247304712887</v>
      </c>
      <c r="FD81" s="73">
        <f>IF(OR($B8="",$B8=0),"",(FC43*($R8*(1+'Property Summary'!$I$22)^(FD$75-1)))*$C8)</f>
        <v>0</v>
      </c>
      <c r="FE81" s="73">
        <f>IF(OR($B8="",$B8=0),"",(FD43*($R8*(1+'Property Summary'!$I$22)^(FE$75-1)))*$C8)</f>
        <v>0</v>
      </c>
      <c r="FF81" s="73">
        <f>IF(OR($B8="",$B8=0),"",(FE43*($R8*(1+'Property Summary'!$I$22)^(FF$75-1)))*$C8)</f>
        <v>0</v>
      </c>
      <c r="FG81" s="73">
        <f>IF(OR($B8="",$B8=0),"",(FF43*($R8*(1+'Property Summary'!$I$22)^(FG$75-1)))*$C8)</f>
        <v>0</v>
      </c>
      <c r="FH81" s="73">
        <f>IF(OR($B8="",$B8=0),"",(FG43*($R8*(1+'Property Summary'!$I$22)^(FH$75-1)))*$C8)</f>
        <v>0</v>
      </c>
      <c r="FI81" s="73">
        <f>IF(OR($B8="",$B8=0),"",(FH43*($R8*(1+'Property Summary'!$I$22)^(FI$75-1)))*$C8)</f>
        <v>0</v>
      </c>
      <c r="FJ81" s="73">
        <f>IF(OR($B8="",$B8=0),"",(FI43*($R8*(1+'Property Summary'!$I$22)^(FJ$75-1)))*$C8)</f>
        <v>0</v>
      </c>
      <c r="FK81" s="73">
        <f>IF(OR($B8="",$B8=0),"",(FJ43*($R8*(1+'Property Summary'!$I$22)^(FK$75-1)))*$C8)</f>
        <v>0</v>
      </c>
      <c r="FL81" s="73">
        <f>IF(OR($B8="",$B8=0),"",(FK43*($R8*(1+'Property Summary'!$I$22)^(FL$75-1)))*$C8)</f>
        <v>0</v>
      </c>
      <c r="FM81" s="73">
        <f>IF(OR($B8="",$B8=0),"",(FL43*($R8*(1+'Property Summary'!$I$22)^(FM$75-1)))*$C8)</f>
        <v>0</v>
      </c>
      <c r="FN81" s="73">
        <f>IF(OR($B8="",$B8=0),"",(FM43*($R8*(1+'Property Summary'!$I$22)^(FN$75-1)))*$C8)</f>
        <v>0</v>
      </c>
      <c r="FO81" s="73">
        <f>IF(OR($B8="",$B8=0),"",(FN43*($R8*(1+'Property Summary'!$I$22)^(FO$75-1)))*$C8)</f>
        <v>2533.3992250807146</v>
      </c>
      <c r="FP81" s="73">
        <f>IF(OR($B8="",$B8=0),"",(FO43*($R8*(1+'Property Summary'!$I$22)^(FP$75-1)))*$C8)</f>
        <v>0</v>
      </c>
      <c r="FQ81" s="73">
        <f>IF(OR($B8="",$B8=0),"",(FP43*($R8*(1+'Property Summary'!$I$22)^(FQ$75-1)))*$C8)</f>
        <v>0</v>
      </c>
      <c r="FR81" s="73">
        <f>IF(OR($B8="",$B8=0),"",(FQ43*($R8*(1+'Property Summary'!$I$22)^(FR$75-1)))*$C8)</f>
        <v>0</v>
      </c>
      <c r="FS81" s="73">
        <f>IF(OR($B8="",$B8=0),"",(FR43*($R8*(1+'Property Summary'!$I$22)^(FS$75-1)))*$C8)</f>
        <v>0</v>
      </c>
      <c r="FT81" s="73">
        <f>IF(OR($B8="",$B8=0),"",(FS43*($R8*(1+'Property Summary'!$I$22)^(FT$75-1)))*$C8)</f>
        <v>0</v>
      </c>
      <c r="FU81" s="73">
        <f>IF(OR($B8="",$B8=0),"",(FT43*($R8*(1+'Property Summary'!$I$22)^(FU$75-1)))*$C8)</f>
        <v>0</v>
      </c>
      <c r="FV81" s="73">
        <f>IF(OR($B8="",$B8=0),"",(FU43*($R8*(1+'Property Summary'!$I$22)^(FV$75-1)))*$C8)</f>
        <v>0</v>
      </c>
      <c r="FW81" s="73">
        <f>IF(OR($B8="",$B8=0),"",(FV43*($R8*(1+'Property Summary'!$I$22)^(FW$75-1)))*$C8)</f>
        <v>0</v>
      </c>
      <c r="FX81" s="73">
        <f>IF(OR($B8="",$B8=0),"",(FW43*($R8*(1+'Property Summary'!$I$22)^(FX$75-1)))*$C8)</f>
        <v>0</v>
      </c>
      <c r="FY81" s="73">
        <f>IF(OR($B8="",$B8=0),"",(FX43*($R8*(1+'Property Summary'!$I$22)^(FY$75-1)))*$C8)</f>
        <v>0</v>
      </c>
      <c r="FZ81" s="86">
        <f>IF(OR($B8="",$B8=0),"",(FY43*($R8*(1+'Property Summary'!$I$22)^(FZ$75-1)))*$C8)</f>
        <v>0</v>
      </c>
    </row>
    <row r="82" spans="2:182" x14ac:dyDescent="0.2">
      <c r="B82" s="85"/>
      <c r="C82" s="73">
        <f>IF(OR($B9="",$B9=0),"",(B44*($R9*(1+'Property Summary'!$I$22)^(C$75-1)))*$C9)</f>
        <v>0</v>
      </c>
      <c r="D82" s="73">
        <f>IF(OR($B9="",$B9=0),"",(C44*($R9*(1+'Property Summary'!$I$22)^(D$75-1)))*$C9)</f>
        <v>0</v>
      </c>
      <c r="E82" s="73">
        <f>IF(OR($B9="",$B9=0),"",(D44*($R9*(1+'Property Summary'!$I$22)^(E$75-1)))*$C9)</f>
        <v>0</v>
      </c>
      <c r="F82" s="73">
        <f>IF(OR($B9="",$B9=0),"",(E44*($R9*(1+'Property Summary'!$I$22)^(F$75-1)))*$C9)</f>
        <v>0</v>
      </c>
      <c r="G82" s="73">
        <f>IF(OR($B9="",$B9=0),"",(F44*($R9*(1+'Property Summary'!$I$22)^(G$75-1)))*$C9)</f>
        <v>0</v>
      </c>
      <c r="H82" s="73">
        <f>IF(OR($B9="",$B9=0),"",(G44*($R9*(1+'Property Summary'!$I$22)^(H$75-1)))*$C9)</f>
        <v>0</v>
      </c>
      <c r="I82" s="73">
        <f>IF(OR($B9="",$B9=0),"",(H44*($R9*(1+'Property Summary'!$I$22)^(I$75-1)))*$C9)</f>
        <v>0</v>
      </c>
      <c r="J82" s="73">
        <f>IF(OR($B9="",$B9=0),"",(I44*($R9*(1+'Property Summary'!$I$22)^(J$75-1)))*$C9)</f>
        <v>0</v>
      </c>
      <c r="K82" s="73">
        <f>IF(OR($B9="",$B9=0),"",(J44*($R9*(1+'Property Summary'!$I$22)^(K$75-1)))*$C9)</f>
        <v>0</v>
      </c>
      <c r="L82" s="73">
        <f>IF(OR($B9="",$B9=0),"",(K44*($R9*(1+'Property Summary'!$I$22)^(L$75-1)))*$C9)</f>
        <v>0</v>
      </c>
      <c r="M82" s="73">
        <f>IF(OR($B9="",$B9=0),"",(L44*($R9*(1+'Property Summary'!$I$22)^(M$75-1)))*$C9)</f>
        <v>0</v>
      </c>
      <c r="N82" s="73">
        <f>IF(OR($B9="",$B9=0),"",(M44*($R9*(1+'Property Summary'!$I$22)^(N$75-1)))*$C9)</f>
        <v>0</v>
      </c>
      <c r="O82" s="73">
        <f>IF(OR($B9="",$B9=0),"",(N44*($R9*(1+'Property Summary'!$I$22)^(O$75-1)))*$C9)</f>
        <v>1958.3999999999999</v>
      </c>
      <c r="P82" s="73">
        <f>IF(OR($B9="",$B9=0),"",(O44*($R9*(1+'Property Summary'!$I$22)^(P$75-1)))*$C9)</f>
        <v>0</v>
      </c>
      <c r="Q82" s="73">
        <f>IF(OR($B9="",$B9=0),"",(P44*($R9*(1+'Property Summary'!$I$22)^(Q$75-1)))*$C9)</f>
        <v>0</v>
      </c>
      <c r="R82" s="73">
        <f>IF(OR($B9="",$B9=0),"",(Q44*($R9*(1+'Property Summary'!$I$22)^(R$75-1)))*$C9)</f>
        <v>0</v>
      </c>
      <c r="S82" s="73">
        <f>IF(OR($B9="",$B9=0),"",(R44*($R9*(1+'Property Summary'!$I$22)^(S$75-1)))*$C9)</f>
        <v>0</v>
      </c>
      <c r="T82" s="73">
        <f>IF(OR($B9="",$B9=0),"",(S44*($R9*(1+'Property Summary'!$I$22)^(T$75-1)))*$C9)</f>
        <v>0</v>
      </c>
      <c r="U82" s="73">
        <f>IF(OR($B9="",$B9=0),"",(T44*($R9*(1+'Property Summary'!$I$22)^(U$75-1)))*$C9)</f>
        <v>0</v>
      </c>
      <c r="V82" s="73">
        <f>IF(OR($B9="",$B9=0),"",(U44*($R9*(1+'Property Summary'!$I$22)^(V$75-1)))*$C9)</f>
        <v>0</v>
      </c>
      <c r="W82" s="73">
        <f>IF(OR($B9="",$B9=0),"",(V44*($R9*(1+'Property Summary'!$I$22)^(W$75-1)))*$C9)</f>
        <v>0</v>
      </c>
      <c r="X82" s="73">
        <f>IF(OR($B9="",$B9=0),"",(W44*($R9*(1+'Property Summary'!$I$22)^(X$75-1)))*$C9)</f>
        <v>0</v>
      </c>
      <c r="Y82" s="73">
        <f>IF(OR($B9="",$B9=0),"",(X44*($R9*(1+'Property Summary'!$I$22)^(Y$75-1)))*$C9)</f>
        <v>0</v>
      </c>
      <c r="Z82" s="73">
        <f>IF(OR($B9="",$B9=0),"",(Y44*($R9*(1+'Property Summary'!$I$22)^(Z$75-1)))*$C9)</f>
        <v>0</v>
      </c>
      <c r="AA82" s="73">
        <f>IF(OR($B9="",$B9=0),"",(Z44*($R9*(1+'Property Summary'!$I$22)^(AA$75-1)))*$C9)</f>
        <v>1997.568</v>
      </c>
      <c r="AB82" s="73">
        <f>IF(OR($B9="",$B9=0),"",(AA44*($R9*(1+'Property Summary'!$I$22)^(AB$75-1)))*$C9)</f>
        <v>0</v>
      </c>
      <c r="AC82" s="73">
        <f>IF(OR($B9="",$B9=0),"",(AB44*($R9*(1+'Property Summary'!$I$22)^(AC$75-1)))*$C9)</f>
        <v>0</v>
      </c>
      <c r="AD82" s="73">
        <f>IF(OR($B9="",$B9=0),"",(AC44*($R9*(1+'Property Summary'!$I$22)^(AD$75-1)))*$C9)</f>
        <v>0</v>
      </c>
      <c r="AE82" s="73">
        <f>IF(OR($B9="",$B9=0),"",(AD44*($R9*(1+'Property Summary'!$I$22)^(AE$75-1)))*$C9)</f>
        <v>0</v>
      </c>
      <c r="AF82" s="73">
        <f>IF(OR($B9="",$B9=0),"",(AE44*($R9*(1+'Property Summary'!$I$22)^(AF$75-1)))*$C9)</f>
        <v>0</v>
      </c>
      <c r="AG82" s="73">
        <f>IF(OR($B9="",$B9=0),"",(AF44*($R9*(1+'Property Summary'!$I$22)^(AG$75-1)))*$C9)</f>
        <v>0</v>
      </c>
      <c r="AH82" s="73">
        <f>IF(OR($B9="",$B9=0),"",(AG44*($R9*(1+'Property Summary'!$I$22)^(AH$75-1)))*$C9)</f>
        <v>0</v>
      </c>
      <c r="AI82" s="73">
        <f>IF(OR($B9="",$B9=0),"",(AH44*($R9*(1+'Property Summary'!$I$22)^(AI$75-1)))*$C9)</f>
        <v>0</v>
      </c>
      <c r="AJ82" s="73">
        <f>IF(OR($B9="",$B9=0),"",(AI44*($R9*(1+'Property Summary'!$I$22)^(AJ$75-1)))*$C9)</f>
        <v>0</v>
      </c>
      <c r="AK82" s="73">
        <f>IF(OR($B9="",$B9=0),"",(AJ44*($R9*(1+'Property Summary'!$I$22)^(AK$75-1)))*$C9)</f>
        <v>0</v>
      </c>
      <c r="AL82" s="73">
        <f>IF(OR($B9="",$B9=0),"",(AK44*($R9*(1+'Property Summary'!$I$22)^(AL$75-1)))*$C9)</f>
        <v>0</v>
      </c>
      <c r="AM82" s="73">
        <f>IF(OR($B9="",$B9=0),"",(AL44*($R9*(1+'Property Summary'!$I$22)^(AM$75-1)))*$C9)</f>
        <v>2037.5193599999998</v>
      </c>
      <c r="AN82" s="73">
        <f>IF(OR($B9="",$B9=0),"",(AM44*($R9*(1+'Property Summary'!$I$22)^(AN$75-1)))*$C9)</f>
        <v>0</v>
      </c>
      <c r="AO82" s="73">
        <f>IF(OR($B9="",$B9=0),"",(AN44*($R9*(1+'Property Summary'!$I$22)^(AO$75-1)))*$C9)</f>
        <v>0</v>
      </c>
      <c r="AP82" s="73">
        <f>IF(OR($B9="",$B9=0),"",(AO44*($R9*(1+'Property Summary'!$I$22)^(AP$75-1)))*$C9)</f>
        <v>0</v>
      </c>
      <c r="AQ82" s="73">
        <f>IF(OR($B9="",$B9=0),"",(AP44*($R9*(1+'Property Summary'!$I$22)^(AQ$75-1)))*$C9)</f>
        <v>0</v>
      </c>
      <c r="AR82" s="73">
        <f>IF(OR($B9="",$B9=0),"",(AQ44*($R9*(1+'Property Summary'!$I$22)^(AR$75-1)))*$C9)</f>
        <v>0</v>
      </c>
      <c r="AS82" s="73">
        <f>IF(OR($B9="",$B9=0),"",(AR44*($R9*(1+'Property Summary'!$I$22)^(AS$75-1)))*$C9)</f>
        <v>0</v>
      </c>
      <c r="AT82" s="73">
        <f>IF(OR($B9="",$B9=0),"",(AS44*($R9*(1+'Property Summary'!$I$22)^(AT$75-1)))*$C9)</f>
        <v>0</v>
      </c>
      <c r="AU82" s="73">
        <f>IF(OR($B9="",$B9=0),"",(AT44*($R9*(1+'Property Summary'!$I$22)^(AU$75-1)))*$C9)</f>
        <v>0</v>
      </c>
      <c r="AV82" s="73">
        <f>IF(OR($B9="",$B9=0),"",(AU44*($R9*(1+'Property Summary'!$I$22)^(AV$75-1)))*$C9)</f>
        <v>0</v>
      </c>
      <c r="AW82" s="73">
        <f>IF(OR($B9="",$B9=0),"",(AV44*($R9*(1+'Property Summary'!$I$22)^(AW$75-1)))*$C9)</f>
        <v>0</v>
      </c>
      <c r="AX82" s="73">
        <f>IF(OR($B9="",$B9=0),"",(AW44*($R9*(1+'Property Summary'!$I$22)^(AX$75-1)))*$C9)</f>
        <v>0</v>
      </c>
      <c r="AY82" s="73">
        <f>IF(OR($B9="",$B9=0),"",(AX44*($R9*(1+'Property Summary'!$I$22)^(AY$75-1)))*$C9)</f>
        <v>2078.2697472</v>
      </c>
      <c r="AZ82" s="73">
        <f>IF(OR($B9="",$B9=0),"",(AY44*($R9*(1+'Property Summary'!$I$22)^(AZ$75-1)))*$C9)</f>
        <v>0</v>
      </c>
      <c r="BA82" s="73">
        <f>IF(OR($B9="",$B9=0),"",(AZ44*($R9*(1+'Property Summary'!$I$22)^(BA$75-1)))*$C9)</f>
        <v>0</v>
      </c>
      <c r="BB82" s="73">
        <f>IF(OR($B9="",$B9=0),"",(BA44*($R9*(1+'Property Summary'!$I$22)^(BB$75-1)))*$C9)</f>
        <v>0</v>
      </c>
      <c r="BC82" s="73">
        <f>IF(OR($B9="",$B9=0),"",(BB44*($R9*(1+'Property Summary'!$I$22)^(BC$75-1)))*$C9)</f>
        <v>0</v>
      </c>
      <c r="BD82" s="73">
        <f>IF(OR($B9="",$B9=0),"",(BC44*($R9*(1+'Property Summary'!$I$22)^(BD$75-1)))*$C9)</f>
        <v>0</v>
      </c>
      <c r="BE82" s="73">
        <f>IF(OR($B9="",$B9=0),"",(BD44*($R9*(1+'Property Summary'!$I$22)^(BE$75-1)))*$C9)</f>
        <v>0</v>
      </c>
      <c r="BF82" s="73">
        <f>IF(OR($B9="",$B9=0),"",(BE44*($R9*(1+'Property Summary'!$I$22)^(BF$75-1)))*$C9)</f>
        <v>0</v>
      </c>
      <c r="BG82" s="73">
        <f>IF(OR($B9="",$B9=0),"",(BF44*($R9*(1+'Property Summary'!$I$22)^(BG$75-1)))*$C9)</f>
        <v>0</v>
      </c>
      <c r="BH82" s="73">
        <f>IF(OR($B9="",$B9=0),"",(BG44*($R9*(1+'Property Summary'!$I$22)^(BH$75-1)))*$C9)</f>
        <v>0</v>
      </c>
      <c r="BI82" s="73">
        <f>IF(OR($B9="",$B9=0),"",(BH44*($R9*(1+'Property Summary'!$I$22)^(BI$75-1)))*$C9)</f>
        <v>0</v>
      </c>
      <c r="BJ82" s="73">
        <f>IF(OR($B9="",$B9=0),"",(BI44*($R9*(1+'Property Summary'!$I$22)^(BJ$75-1)))*$C9)</f>
        <v>0</v>
      </c>
      <c r="BK82" s="73">
        <f>IF(OR($B9="",$B9=0),"",(BJ44*($R9*(1+'Property Summary'!$I$22)^(BK$75-1)))*$C9)</f>
        <v>2119.8351421440002</v>
      </c>
      <c r="BL82" s="73">
        <f>IF(OR($B9="",$B9=0),"",(BK44*($R9*(1+'Property Summary'!$I$22)^(BL$75-1)))*$C9)</f>
        <v>0</v>
      </c>
      <c r="BM82" s="73">
        <f>IF(OR($B9="",$B9=0),"",(BL44*($R9*(1+'Property Summary'!$I$22)^(BM$75-1)))*$C9)</f>
        <v>0</v>
      </c>
      <c r="BN82" s="73">
        <f>IF(OR($B9="",$B9=0),"",(BM44*($R9*(1+'Property Summary'!$I$22)^(BN$75-1)))*$C9)</f>
        <v>0</v>
      </c>
      <c r="BO82" s="73">
        <f>IF(OR($B9="",$B9=0),"",(BN44*($R9*(1+'Property Summary'!$I$22)^(BO$75-1)))*$C9)</f>
        <v>0</v>
      </c>
      <c r="BP82" s="73">
        <f>IF(OR($B9="",$B9=0),"",(BO44*($R9*(1+'Property Summary'!$I$22)^(BP$75-1)))*$C9)</f>
        <v>0</v>
      </c>
      <c r="BQ82" s="73">
        <f>IF(OR($B9="",$B9=0),"",(BP44*($R9*(1+'Property Summary'!$I$22)^(BQ$75-1)))*$C9)</f>
        <v>0</v>
      </c>
      <c r="BR82" s="73">
        <f>IF(OR($B9="",$B9=0),"",(BQ44*($R9*(1+'Property Summary'!$I$22)^(BR$75-1)))*$C9)</f>
        <v>0</v>
      </c>
      <c r="BS82" s="73">
        <f>IF(OR($B9="",$B9=0),"",(BR44*($R9*(1+'Property Summary'!$I$22)^(BS$75-1)))*$C9)</f>
        <v>0</v>
      </c>
      <c r="BT82" s="73">
        <f>IF(OR($B9="",$B9=0),"",(BS44*($R9*(1+'Property Summary'!$I$22)^(BT$75-1)))*$C9)</f>
        <v>0</v>
      </c>
      <c r="BU82" s="73">
        <f>IF(OR($B9="",$B9=0),"",(BT44*($R9*(1+'Property Summary'!$I$22)^(BU$75-1)))*$C9)</f>
        <v>0</v>
      </c>
      <c r="BV82" s="73">
        <f>IF(OR($B9="",$B9=0),"",(BU44*($R9*(1+'Property Summary'!$I$22)^(BV$75-1)))*$C9)</f>
        <v>0</v>
      </c>
      <c r="BW82" s="73">
        <f>IF(OR($B9="",$B9=0),"",(BV44*($R9*(1+'Property Summary'!$I$22)^(BW$75-1)))*$C9)</f>
        <v>2162.2318449868803</v>
      </c>
      <c r="BX82" s="73">
        <f>IF(OR($B9="",$B9=0),"",(BW44*($R9*(1+'Property Summary'!$I$22)^(BX$75-1)))*$C9)</f>
        <v>0</v>
      </c>
      <c r="BY82" s="73">
        <f>IF(OR($B9="",$B9=0),"",(BX44*($R9*(1+'Property Summary'!$I$22)^(BY$75-1)))*$C9)</f>
        <v>0</v>
      </c>
      <c r="BZ82" s="73">
        <f>IF(OR($B9="",$B9=0),"",(BY44*($R9*(1+'Property Summary'!$I$22)^(BZ$75-1)))*$C9)</f>
        <v>0</v>
      </c>
      <c r="CA82" s="73">
        <f>IF(OR($B9="",$B9=0),"",(BZ44*($R9*(1+'Property Summary'!$I$22)^(CA$75-1)))*$C9)</f>
        <v>0</v>
      </c>
      <c r="CB82" s="73">
        <f>IF(OR($B9="",$B9=0),"",(CA44*($R9*(1+'Property Summary'!$I$22)^(CB$75-1)))*$C9)</f>
        <v>0</v>
      </c>
      <c r="CC82" s="73">
        <f>IF(OR($B9="",$B9=0),"",(CB44*($R9*(1+'Property Summary'!$I$22)^(CC$75-1)))*$C9)</f>
        <v>0</v>
      </c>
      <c r="CD82" s="73">
        <f>IF(OR($B9="",$B9=0),"",(CC44*($R9*(1+'Property Summary'!$I$22)^(CD$75-1)))*$C9)</f>
        <v>0</v>
      </c>
      <c r="CE82" s="73">
        <f>IF(OR($B9="",$B9=0),"",(CD44*($R9*(1+'Property Summary'!$I$22)^(CE$75-1)))*$C9)</f>
        <v>0</v>
      </c>
      <c r="CF82" s="73">
        <f>IF(OR($B9="",$B9=0),"",(CE44*($R9*(1+'Property Summary'!$I$22)^(CF$75-1)))*$C9)</f>
        <v>0</v>
      </c>
      <c r="CG82" s="73">
        <f>IF(OR($B9="",$B9=0),"",(CF44*($R9*(1+'Property Summary'!$I$22)^(CG$75-1)))*$C9)</f>
        <v>0</v>
      </c>
      <c r="CH82" s="73">
        <f>IF(OR($B9="",$B9=0),"",(CG44*($R9*(1+'Property Summary'!$I$22)^(CH$75-1)))*$C9)</f>
        <v>0</v>
      </c>
      <c r="CI82" s="73">
        <f>IF(OR($B9="",$B9=0),"",(CH44*($R9*(1+'Property Summary'!$I$22)^(CI$75-1)))*$C9)</f>
        <v>2205.4764818866174</v>
      </c>
      <c r="CJ82" s="73">
        <f>IF(OR($B9="",$B9=0),"",(CI44*($R9*(1+'Property Summary'!$I$22)^(CJ$75-1)))*$C9)</f>
        <v>0</v>
      </c>
      <c r="CK82" s="73">
        <f>IF(OR($B9="",$B9=0),"",(CJ44*($R9*(1+'Property Summary'!$I$22)^(CK$75-1)))*$C9)</f>
        <v>0</v>
      </c>
      <c r="CL82" s="73">
        <f>IF(OR($B9="",$B9=0),"",(CK44*($R9*(1+'Property Summary'!$I$22)^(CL$75-1)))*$C9)</f>
        <v>0</v>
      </c>
      <c r="CM82" s="73">
        <f>IF(OR($B9="",$B9=0),"",(CL44*($R9*(1+'Property Summary'!$I$22)^(CM$75-1)))*$C9)</f>
        <v>0</v>
      </c>
      <c r="CN82" s="73">
        <f>IF(OR($B9="",$B9=0),"",(CM44*($R9*(1+'Property Summary'!$I$22)^(CN$75-1)))*$C9)</f>
        <v>0</v>
      </c>
      <c r="CO82" s="73">
        <f>IF(OR($B9="",$B9=0),"",(CN44*($R9*(1+'Property Summary'!$I$22)^(CO$75-1)))*$C9)</f>
        <v>0</v>
      </c>
      <c r="CP82" s="73">
        <f>IF(OR($B9="",$B9=0),"",(CO44*($R9*(1+'Property Summary'!$I$22)^(CP$75-1)))*$C9)</f>
        <v>0</v>
      </c>
      <c r="CQ82" s="73">
        <f>IF(OR($B9="",$B9=0),"",(CP44*($R9*(1+'Property Summary'!$I$22)^(CQ$75-1)))*$C9)</f>
        <v>0</v>
      </c>
      <c r="CR82" s="73">
        <f>IF(OR($B9="",$B9=0),"",(CQ44*($R9*(1+'Property Summary'!$I$22)^(CR$75-1)))*$C9)</f>
        <v>0</v>
      </c>
      <c r="CS82" s="73">
        <f>IF(OR($B9="",$B9=0),"",(CR44*($R9*(1+'Property Summary'!$I$22)^(CS$75-1)))*$C9)</f>
        <v>0</v>
      </c>
      <c r="CT82" s="73">
        <f>IF(OR($B9="",$B9=0),"",(CS44*($R9*(1+'Property Summary'!$I$22)^(CT$75-1)))*$C9)</f>
        <v>0</v>
      </c>
      <c r="CU82" s="73">
        <f>IF(OR($B9="",$B9=0),"",(CT44*($R9*(1+'Property Summary'!$I$22)^(CU$75-1)))*$C9)</f>
        <v>2249.5860115243495</v>
      </c>
      <c r="CV82" s="73">
        <f>IF(OR($B9="",$B9=0),"",(CU44*($R9*(1+'Property Summary'!$I$22)^(CV$75-1)))*$C9)</f>
        <v>0</v>
      </c>
      <c r="CW82" s="73">
        <f>IF(OR($B9="",$B9=0),"",(CV44*($R9*(1+'Property Summary'!$I$22)^(CW$75-1)))*$C9)</f>
        <v>0</v>
      </c>
      <c r="CX82" s="73">
        <f>IF(OR($B9="",$B9=0),"",(CW44*($R9*(1+'Property Summary'!$I$22)^(CX$75-1)))*$C9)</f>
        <v>0</v>
      </c>
      <c r="CY82" s="73">
        <f>IF(OR($B9="",$B9=0),"",(CX44*($R9*(1+'Property Summary'!$I$22)^(CY$75-1)))*$C9)</f>
        <v>0</v>
      </c>
      <c r="CZ82" s="73">
        <f>IF(OR($B9="",$B9=0),"",(CY44*($R9*(1+'Property Summary'!$I$22)^(CZ$75-1)))*$C9)</f>
        <v>0</v>
      </c>
      <c r="DA82" s="73">
        <f>IF(OR($B9="",$B9=0),"",(CZ44*($R9*(1+'Property Summary'!$I$22)^(DA$75-1)))*$C9)</f>
        <v>0</v>
      </c>
      <c r="DB82" s="73">
        <f>IF(OR($B9="",$B9=0),"",(DA44*($R9*(1+'Property Summary'!$I$22)^(DB$75-1)))*$C9)</f>
        <v>0</v>
      </c>
      <c r="DC82" s="73">
        <f>IF(OR($B9="",$B9=0),"",(DB44*($R9*(1+'Property Summary'!$I$22)^(DC$75-1)))*$C9)</f>
        <v>0</v>
      </c>
      <c r="DD82" s="73">
        <f>IF(OR($B9="",$B9=0),"",(DC44*($R9*(1+'Property Summary'!$I$22)^(DD$75-1)))*$C9)</f>
        <v>0</v>
      </c>
      <c r="DE82" s="73">
        <f>IF(OR($B9="",$B9=0),"",(DD44*($R9*(1+'Property Summary'!$I$22)^(DE$75-1)))*$C9)</f>
        <v>0</v>
      </c>
      <c r="DF82" s="73">
        <f>IF(OR($B9="",$B9=0),"",(DE44*($R9*(1+'Property Summary'!$I$22)^(DF$75-1)))*$C9)</f>
        <v>0</v>
      </c>
      <c r="DG82" s="73">
        <f>IF(OR($B9="",$B9=0),"",(DF44*($R9*(1+'Property Summary'!$I$22)^(DG$75-1)))*$C9)</f>
        <v>2294.5777317548368</v>
      </c>
      <c r="DH82" s="73">
        <f>IF(OR($B9="",$B9=0),"",(DG44*($R9*(1+'Property Summary'!$I$22)^(DH$75-1)))*$C9)</f>
        <v>0</v>
      </c>
      <c r="DI82" s="73">
        <f>IF(OR($B9="",$B9=0),"",(DH44*($R9*(1+'Property Summary'!$I$22)^(DI$75-1)))*$C9)</f>
        <v>0</v>
      </c>
      <c r="DJ82" s="73">
        <f>IF(OR($B9="",$B9=0),"",(DI44*($R9*(1+'Property Summary'!$I$22)^(DJ$75-1)))*$C9)</f>
        <v>0</v>
      </c>
      <c r="DK82" s="73">
        <f>IF(OR($B9="",$B9=0),"",(DJ44*($R9*(1+'Property Summary'!$I$22)^(DK$75-1)))*$C9)</f>
        <v>0</v>
      </c>
      <c r="DL82" s="73">
        <f>IF(OR($B9="",$B9=0),"",(DK44*($R9*(1+'Property Summary'!$I$22)^(DL$75-1)))*$C9)</f>
        <v>0</v>
      </c>
      <c r="DM82" s="73">
        <f>IF(OR($B9="",$B9=0),"",(DL44*($R9*(1+'Property Summary'!$I$22)^(DM$75-1)))*$C9)</f>
        <v>0</v>
      </c>
      <c r="DN82" s="73">
        <f>IF(OR($B9="",$B9=0),"",(DM44*($R9*(1+'Property Summary'!$I$22)^(DN$75-1)))*$C9)</f>
        <v>0</v>
      </c>
      <c r="DO82" s="73">
        <f>IF(OR($B9="",$B9=0),"",(DN44*($R9*(1+'Property Summary'!$I$22)^(DO$75-1)))*$C9)</f>
        <v>0</v>
      </c>
      <c r="DP82" s="73">
        <f>IF(OR($B9="",$B9=0),"",(DO44*($R9*(1+'Property Summary'!$I$22)^(DP$75-1)))*$C9)</f>
        <v>0</v>
      </c>
      <c r="DQ82" s="73">
        <f>IF(OR($B9="",$B9=0),"",(DP44*($R9*(1+'Property Summary'!$I$22)^(DQ$75-1)))*$C9)</f>
        <v>0</v>
      </c>
      <c r="DR82" s="73">
        <f>IF(OR($B9="",$B9=0),"",(DQ44*($R9*(1+'Property Summary'!$I$22)^(DR$75-1)))*$C9)</f>
        <v>0</v>
      </c>
      <c r="DS82" s="73">
        <f>IF(OR($B9="",$B9=0),"",(DR44*($R9*(1+'Property Summary'!$I$22)^(DS$75-1)))*$C9)</f>
        <v>2340.4692863899336</v>
      </c>
      <c r="DT82" s="73">
        <f>IF(OR($B9="",$B9=0),"",(DS44*($R9*(1+'Property Summary'!$I$22)^(DT$75-1)))*$C9)</f>
        <v>0</v>
      </c>
      <c r="DU82" s="73">
        <f>IF(OR($B9="",$B9=0),"",(DT44*($R9*(1+'Property Summary'!$I$22)^(DU$75-1)))*$C9)</f>
        <v>0</v>
      </c>
      <c r="DV82" s="73">
        <f>IF(OR($B9="",$B9=0),"",(DU44*($R9*(1+'Property Summary'!$I$22)^(DV$75-1)))*$C9)</f>
        <v>0</v>
      </c>
      <c r="DW82" s="73">
        <f>IF(OR($B9="",$B9=0),"",(DV44*($R9*(1+'Property Summary'!$I$22)^(DW$75-1)))*$C9)</f>
        <v>0</v>
      </c>
      <c r="DX82" s="73">
        <f>IF(OR($B9="",$B9=0),"",(DW44*($R9*(1+'Property Summary'!$I$22)^(DX$75-1)))*$C9)</f>
        <v>0</v>
      </c>
      <c r="DY82" s="73">
        <f>IF(OR($B9="",$B9=0),"",(DX44*($R9*(1+'Property Summary'!$I$22)^(DY$75-1)))*$C9)</f>
        <v>0</v>
      </c>
      <c r="DZ82" s="73">
        <f>IF(OR($B9="",$B9=0),"",(DY44*($R9*(1+'Property Summary'!$I$22)^(DZ$75-1)))*$C9)</f>
        <v>0</v>
      </c>
      <c r="EA82" s="73">
        <f>IF(OR($B9="",$B9=0),"",(DZ44*($R9*(1+'Property Summary'!$I$22)^(EA$75-1)))*$C9)</f>
        <v>0</v>
      </c>
      <c r="EB82" s="73">
        <f>IF(OR($B9="",$B9=0),"",(EA44*($R9*(1+'Property Summary'!$I$22)^(EB$75-1)))*$C9)</f>
        <v>0</v>
      </c>
      <c r="EC82" s="73">
        <f>IF(OR($B9="",$B9=0),"",(EB44*($R9*(1+'Property Summary'!$I$22)^(EC$75-1)))*$C9)</f>
        <v>0</v>
      </c>
      <c r="ED82" s="73">
        <f>IF(OR($B9="",$B9=0),"",(EC44*($R9*(1+'Property Summary'!$I$22)^(ED$75-1)))*$C9)</f>
        <v>0</v>
      </c>
      <c r="EE82" s="73">
        <f>IF(OR($B9="",$B9=0),"",(ED44*($R9*(1+'Property Summary'!$I$22)^(EE$75-1)))*$C9)</f>
        <v>2387.2786721177317</v>
      </c>
      <c r="EF82" s="73">
        <f>IF(OR($B9="",$B9=0),"",(EE44*($R9*(1+'Property Summary'!$I$22)^(EF$75-1)))*$C9)</f>
        <v>0</v>
      </c>
      <c r="EG82" s="73">
        <f>IF(OR($B9="",$B9=0),"",(EF44*($R9*(1+'Property Summary'!$I$22)^(EG$75-1)))*$C9)</f>
        <v>0</v>
      </c>
      <c r="EH82" s="73">
        <f>IF(OR($B9="",$B9=0),"",(EG44*($R9*(1+'Property Summary'!$I$22)^(EH$75-1)))*$C9)</f>
        <v>0</v>
      </c>
      <c r="EI82" s="73">
        <f>IF(OR($B9="",$B9=0),"",(EH44*($R9*(1+'Property Summary'!$I$22)^(EI$75-1)))*$C9)</f>
        <v>0</v>
      </c>
      <c r="EJ82" s="73">
        <f>IF(OR($B9="",$B9=0),"",(EI44*($R9*(1+'Property Summary'!$I$22)^(EJ$75-1)))*$C9)</f>
        <v>0</v>
      </c>
      <c r="EK82" s="73">
        <f>IF(OR($B9="",$B9=0),"",(EJ44*($R9*(1+'Property Summary'!$I$22)^(EK$75-1)))*$C9)</f>
        <v>0</v>
      </c>
      <c r="EL82" s="73">
        <f>IF(OR($B9="",$B9=0),"",(EK44*($R9*(1+'Property Summary'!$I$22)^(EL$75-1)))*$C9)</f>
        <v>0</v>
      </c>
      <c r="EM82" s="73">
        <f>IF(OR($B9="",$B9=0),"",(EL44*($R9*(1+'Property Summary'!$I$22)^(EM$75-1)))*$C9)</f>
        <v>0</v>
      </c>
      <c r="EN82" s="73">
        <f>IF(OR($B9="",$B9=0),"",(EM44*($R9*(1+'Property Summary'!$I$22)^(EN$75-1)))*$C9)</f>
        <v>0</v>
      </c>
      <c r="EO82" s="73">
        <f>IF(OR($B9="",$B9=0),"",(EN44*($R9*(1+'Property Summary'!$I$22)^(EO$75-1)))*$C9)</f>
        <v>0</v>
      </c>
      <c r="EP82" s="73">
        <f>IF(OR($B9="",$B9=0),"",(EO44*($R9*(1+'Property Summary'!$I$22)^(EP$75-1)))*$C9)</f>
        <v>0</v>
      </c>
      <c r="EQ82" s="73">
        <f>IF(OR($B9="",$B9=0),"",(EP44*($R9*(1+'Property Summary'!$I$22)^(EQ$75-1)))*$C9)</f>
        <v>2435.0242455600869</v>
      </c>
      <c r="ER82" s="73">
        <f>IF(OR($B9="",$B9=0),"",(EQ44*($R9*(1+'Property Summary'!$I$22)^(ER$75-1)))*$C9)</f>
        <v>0</v>
      </c>
      <c r="ES82" s="73">
        <f>IF(OR($B9="",$B9=0),"",(ER44*($R9*(1+'Property Summary'!$I$22)^(ES$75-1)))*$C9)</f>
        <v>0</v>
      </c>
      <c r="ET82" s="73">
        <f>IF(OR($B9="",$B9=0),"",(ES44*($R9*(1+'Property Summary'!$I$22)^(ET$75-1)))*$C9)</f>
        <v>0</v>
      </c>
      <c r="EU82" s="73">
        <f>IF(OR($B9="",$B9=0),"",(ET44*($R9*(1+'Property Summary'!$I$22)^(EU$75-1)))*$C9)</f>
        <v>0</v>
      </c>
      <c r="EV82" s="73">
        <f>IF(OR($B9="",$B9=0),"",(EU44*($R9*(1+'Property Summary'!$I$22)^(EV$75-1)))*$C9)</f>
        <v>0</v>
      </c>
      <c r="EW82" s="73">
        <f>IF(OR($B9="",$B9=0),"",(EV44*($R9*(1+'Property Summary'!$I$22)^(EW$75-1)))*$C9)</f>
        <v>0</v>
      </c>
      <c r="EX82" s="73">
        <f>IF(OR($B9="",$B9=0),"",(EW44*($R9*(1+'Property Summary'!$I$22)^(EX$75-1)))*$C9)</f>
        <v>0</v>
      </c>
      <c r="EY82" s="73">
        <f>IF(OR($B9="",$B9=0),"",(EX44*($R9*(1+'Property Summary'!$I$22)^(EY$75-1)))*$C9)</f>
        <v>0</v>
      </c>
      <c r="EZ82" s="73">
        <f>IF(OR($B9="",$B9=0),"",(EY44*($R9*(1+'Property Summary'!$I$22)^(EZ$75-1)))*$C9)</f>
        <v>0</v>
      </c>
      <c r="FA82" s="73">
        <f>IF(OR($B9="",$B9=0),"",(EZ44*($R9*(1+'Property Summary'!$I$22)^(FA$75-1)))*$C9)</f>
        <v>0</v>
      </c>
      <c r="FB82" s="73">
        <f>IF(OR($B9="",$B9=0),"",(FA44*($R9*(1+'Property Summary'!$I$22)^(FB$75-1)))*$C9)</f>
        <v>0</v>
      </c>
      <c r="FC82" s="73">
        <f>IF(OR($B9="",$B9=0),"",(FB44*($R9*(1+'Property Summary'!$I$22)^(FC$75-1)))*$C9)</f>
        <v>2483.7247304712887</v>
      </c>
      <c r="FD82" s="73">
        <f>IF(OR($B9="",$B9=0),"",(FC44*($R9*(1+'Property Summary'!$I$22)^(FD$75-1)))*$C9)</f>
        <v>0</v>
      </c>
      <c r="FE82" s="73">
        <f>IF(OR($B9="",$B9=0),"",(FD44*($R9*(1+'Property Summary'!$I$22)^(FE$75-1)))*$C9)</f>
        <v>0</v>
      </c>
      <c r="FF82" s="73">
        <f>IF(OR($B9="",$B9=0),"",(FE44*($R9*(1+'Property Summary'!$I$22)^(FF$75-1)))*$C9)</f>
        <v>0</v>
      </c>
      <c r="FG82" s="73">
        <f>IF(OR($B9="",$B9=0),"",(FF44*($R9*(1+'Property Summary'!$I$22)^(FG$75-1)))*$C9)</f>
        <v>0</v>
      </c>
      <c r="FH82" s="73">
        <f>IF(OR($B9="",$B9=0),"",(FG44*($R9*(1+'Property Summary'!$I$22)^(FH$75-1)))*$C9)</f>
        <v>0</v>
      </c>
      <c r="FI82" s="73">
        <f>IF(OR($B9="",$B9=0),"",(FH44*($R9*(1+'Property Summary'!$I$22)^(FI$75-1)))*$C9)</f>
        <v>0</v>
      </c>
      <c r="FJ82" s="73">
        <f>IF(OR($B9="",$B9=0),"",(FI44*($R9*(1+'Property Summary'!$I$22)^(FJ$75-1)))*$C9)</f>
        <v>0</v>
      </c>
      <c r="FK82" s="73">
        <f>IF(OR($B9="",$B9=0),"",(FJ44*($R9*(1+'Property Summary'!$I$22)^(FK$75-1)))*$C9)</f>
        <v>0</v>
      </c>
      <c r="FL82" s="73">
        <f>IF(OR($B9="",$B9=0),"",(FK44*($R9*(1+'Property Summary'!$I$22)^(FL$75-1)))*$C9)</f>
        <v>0</v>
      </c>
      <c r="FM82" s="73">
        <f>IF(OR($B9="",$B9=0),"",(FL44*($R9*(1+'Property Summary'!$I$22)^(FM$75-1)))*$C9)</f>
        <v>0</v>
      </c>
      <c r="FN82" s="73">
        <f>IF(OR($B9="",$B9=0),"",(FM44*($R9*(1+'Property Summary'!$I$22)^(FN$75-1)))*$C9)</f>
        <v>0</v>
      </c>
      <c r="FO82" s="73">
        <f>IF(OR($B9="",$B9=0),"",(FN44*($R9*(1+'Property Summary'!$I$22)^(FO$75-1)))*$C9)</f>
        <v>2533.3992250807141</v>
      </c>
      <c r="FP82" s="73">
        <f>IF(OR($B9="",$B9=0),"",(FO44*($R9*(1+'Property Summary'!$I$22)^(FP$75-1)))*$C9)</f>
        <v>0</v>
      </c>
      <c r="FQ82" s="73">
        <f>IF(OR($B9="",$B9=0),"",(FP44*($R9*(1+'Property Summary'!$I$22)^(FQ$75-1)))*$C9)</f>
        <v>0</v>
      </c>
      <c r="FR82" s="73">
        <f>IF(OR($B9="",$B9=0),"",(FQ44*($R9*(1+'Property Summary'!$I$22)^(FR$75-1)))*$C9)</f>
        <v>0</v>
      </c>
      <c r="FS82" s="73">
        <f>IF(OR($B9="",$B9=0),"",(FR44*($R9*(1+'Property Summary'!$I$22)^(FS$75-1)))*$C9)</f>
        <v>0</v>
      </c>
      <c r="FT82" s="73">
        <f>IF(OR($B9="",$B9=0),"",(FS44*($R9*(1+'Property Summary'!$I$22)^(FT$75-1)))*$C9)</f>
        <v>0</v>
      </c>
      <c r="FU82" s="73">
        <f>IF(OR($B9="",$B9=0),"",(FT44*($R9*(1+'Property Summary'!$I$22)^(FU$75-1)))*$C9)</f>
        <v>0</v>
      </c>
      <c r="FV82" s="73">
        <f>IF(OR($B9="",$B9=0),"",(FU44*($R9*(1+'Property Summary'!$I$22)^(FV$75-1)))*$C9)</f>
        <v>0</v>
      </c>
      <c r="FW82" s="73">
        <f>IF(OR($B9="",$B9=0),"",(FV44*($R9*(1+'Property Summary'!$I$22)^(FW$75-1)))*$C9)</f>
        <v>0</v>
      </c>
      <c r="FX82" s="73">
        <f>IF(OR($B9="",$B9=0),"",(FW44*($R9*(1+'Property Summary'!$I$22)^(FX$75-1)))*$C9)</f>
        <v>0</v>
      </c>
      <c r="FY82" s="73">
        <f>IF(OR($B9="",$B9=0),"",(FX44*($R9*(1+'Property Summary'!$I$22)^(FY$75-1)))*$C9)</f>
        <v>0</v>
      </c>
      <c r="FZ82" s="86">
        <f>IF(OR($B9="",$B9=0),"",(FY44*($R9*(1+'Property Summary'!$I$22)^(FZ$75-1)))*$C9)</f>
        <v>0</v>
      </c>
    </row>
    <row r="83" spans="2:182" x14ac:dyDescent="0.2">
      <c r="B83" s="85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81"/>
      <c r="BJ83" s="81"/>
      <c r="BK83" s="81"/>
      <c r="BL83" s="81"/>
      <c r="BM83" s="81"/>
      <c r="BN83" s="81"/>
      <c r="BO83" s="81"/>
      <c r="BP83" s="81"/>
      <c r="BQ83" s="81"/>
      <c r="BR83" s="81"/>
      <c r="BS83" s="81"/>
      <c r="BT83" s="81"/>
      <c r="BU83" s="81"/>
      <c r="BV83" s="81"/>
      <c r="BW83" s="81"/>
      <c r="BX83" s="81"/>
      <c r="BY83" s="81"/>
      <c r="BZ83" s="81"/>
      <c r="CA83" s="81"/>
      <c r="CB83" s="81"/>
      <c r="CC83" s="81"/>
      <c r="CD83" s="81"/>
      <c r="CE83" s="81"/>
      <c r="CF83" s="81"/>
      <c r="CG83" s="81"/>
      <c r="CH83" s="81"/>
      <c r="CI83" s="81"/>
      <c r="CJ83" s="81"/>
      <c r="CK83" s="81"/>
      <c r="CL83" s="81"/>
      <c r="CM83" s="81"/>
      <c r="CN83" s="81"/>
      <c r="CO83" s="81"/>
      <c r="CP83" s="81"/>
      <c r="CQ83" s="81"/>
      <c r="CR83" s="81"/>
      <c r="CS83" s="81"/>
      <c r="CT83" s="81"/>
      <c r="CU83" s="81"/>
      <c r="CV83" s="81"/>
      <c r="CW83" s="81"/>
      <c r="CX83" s="81"/>
      <c r="CY83" s="81"/>
      <c r="CZ83" s="81"/>
      <c r="DA83" s="81"/>
      <c r="DB83" s="81"/>
      <c r="DC83" s="81"/>
      <c r="DD83" s="81"/>
      <c r="DE83" s="81"/>
      <c r="DF83" s="81"/>
      <c r="DG83" s="81"/>
      <c r="DH83" s="81"/>
      <c r="DI83" s="81"/>
      <c r="DJ83" s="81"/>
      <c r="DK83" s="81"/>
      <c r="DL83" s="81"/>
      <c r="DM83" s="81"/>
      <c r="DN83" s="81"/>
      <c r="DO83" s="81"/>
      <c r="DP83" s="81"/>
      <c r="DQ83" s="81"/>
      <c r="DR83" s="81"/>
      <c r="DS83" s="81"/>
      <c r="DT83" s="81"/>
      <c r="DU83" s="81"/>
      <c r="DV83" s="81"/>
      <c r="DW83" s="81"/>
      <c r="DX83" s="81"/>
      <c r="DY83" s="81"/>
      <c r="DZ83" s="81"/>
      <c r="EA83" s="81"/>
      <c r="EB83" s="81"/>
      <c r="EC83" s="81"/>
      <c r="ED83" s="81"/>
      <c r="EE83" s="81"/>
      <c r="EF83" s="81"/>
      <c r="EG83" s="81"/>
      <c r="EH83" s="81"/>
      <c r="EI83" s="81"/>
      <c r="EJ83" s="81"/>
      <c r="EK83" s="81"/>
      <c r="EL83" s="81"/>
      <c r="EM83" s="81"/>
      <c r="EN83" s="81"/>
      <c r="EO83" s="81"/>
      <c r="EP83" s="81"/>
      <c r="EQ83" s="81"/>
      <c r="ER83" s="81"/>
      <c r="ES83" s="81"/>
      <c r="ET83" s="81"/>
      <c r="EU83" s="81"/>
      <c r="EV83" s="81"/>
      <c r="EW83" s="81"/>
      <c r="EX83" s="81"/>
      <c r="EY83" s="81"/>
      <c r="EZ83" s="81"/>
      <c r="FA83" s="81"/>
      <c r="FB83" s="81"/>
      <c r="FC83" s="81"/>
      <c r="FD83" s="81"/>
      <c r="FE83" s="81"/>
      <c r="FF83" s="81"/>
      <c r="FG83" s="81"/>
      <c r="FH83" s="81"/>
      <c r="FI83" s="81"/>
      <c r="FJ83" s="81"/>
      <c r="FK83" s="81"/>
      <c r="FL83" s="81"/>
      <c r="FM83" s="81"/>
      <c r="FN83" s="81"/>
      <c r="FO83" s="81"/>
      <c r="FP83" s="81"/>
      <c r="FQ83" s="81"/>
      <c r="FR83" s="81"/>
      <c r="FS83" s="81"/>
      <c r="FT83" s="81"/>
      <c r="FU83" s="81"/>
      <c r="FV83" s="81"/>
      <c r="FW83" s="81"/>
      <c r="FX83" s="81"/>
      <c r="FY83" s="81"/>
      <c r="FZ83" s="82"/>
    </row>
    <row r="84" spans="2:182" x14ac:dyDescent="0.2">
      <c r="B84" s="87" t="s">
        <v>132</v>
      </c>
      <c r="C84" s="88">
        <f>SUM(C78:C83)</f>
        <v>0</v>
      </c>
      <c r="D84" s="88">
        <f t="shared" ref="D84:BO84" si="271">SUM(D78:D83)</f>
        <v>0</v>
      </c>
      <c r="E84" s="88">
        <f t="shared" si="271"/>
        <v>0</v>
      </c>
      <c r="F84" s="88">
        <f t="shared" si="271"/>
        <v>0</v>
      </c>
      <c r="G84" s="88">
        <f t="shared" si="271"/>
        <v>0</v>
      </c>
      <c r="H84" s="88">
        <f t="shared" si="271"/>
        <v>0</v>
      </c>
      <c r="I84" s="88">
        <f t="shared" si="271"/>
        <v>0</v>
      </c>
      <c r="J84" s="88">
        <f t="shared" si="271"/>
        <v>0</v>
      </c>
      <c r="K84" s="88">
        <f t="shared" si="271"/>
        <v>0</v>
      </c>
      <c r="L84" s="88">
        <f t="shared" si="271"/>
        <v>0</v>
      </c>
      <c r="M84" s="88">
        <f t="shared" si="271"/>
        <v>0</v>
      </c>
      <c r="N84" s="88">
        <f t="shared" si="271"/>
        <v>0</v>
      </c>
      <c r="O84" s="88">
        <f t="shared" si="271"/>
        <v>15911.999999999998</v>
      </c>
      <c r="P84" s="88">
        <f t="shared" si="271"/>
        <v>0</v>
      </c>
      <c r="Q84" s="88">
        <f t="shared" si="271"/>
        <v>0</v>
      </c>
      <c r="R84" s="88">
        <f t="shared" si="271"/>
        <v>0</v>
      </c>
      <c r="S84" s="88">
        <f t="shared" si="271"/>
        <v>0</v>
      </c>
      <c r="T84" s="88">
        <f t="shared" si="271"/>
        <v>0</v>
      </c>
      <c r="U84" s="88">
        <f t="shared" si="271"/>
        <v>0</v>
      </c>
      <c r="V84" s="88">
        <f t="shared" si="271"/>
        <v>0</v>
      </c>
      <c r="W84" s="88">
        <f t="shared" si="271"/>
        <v>0</v>
      </c>
      <c r="X84" s="88">
        <f t="shared" si="271"/>
        <v>0</v>
      </c>
      <c r="Y84" s="88">
        <f t="shared" si="271"/>
        <v>0</v>
      </c>
      <c r="Z84" s="88">
        <f t="shared" si="271"/>
        <v>0</v>
      </c>
      <c r="AA84" s="88">
        <f t="shared" si="271"/>
        <v>16230.239999999998</v>
      </c>
      <c r="AB84" s="88">
        <f t="shared" si="271"/>
        <v>0</v>
      </c>
      <c r="AC84" s="88">
        <f t="shared" si="271"/>
        <v>0</v>
      </c>
      <c r="AD84" s="88">
        <f t="shared" si="271"/>
        <v>0</v>
      </c>
      <c r="AE84" s="88">
        <f t="shared" si="271"/>
        <v>0</v>
      </c>
      <c r="AF84" s="88">
        <f t="shared" si="271"/>
        <v>0</v>
      </c>
      <c r="AG84" s="88">
        <f t="shared" si="271"/>
        <v>0</v>
      </c>
      <c r="AH84" s="88">
        <f t="shared" si="271"/>
        <v>0</v>
      </c>
      <c r="AI84" s="88">
        <f t="shared" si="271"/>
        <v>0</v>
      </c>
      <c r="AJ84" s="88">
        <f t="shared" si="271"/>
        <v>0</v>
      </c>
      <c r="AK84" s="88">
        <f t="shared" si="271"/>
        <v>0</v>
      </c>
      <c r="AL84" s="88">
        <f t="shared" si="271"/>
        <v>0</v>
      </c>
      <c r="AM84" s="88">
        <f t="shared" si="271"/>
        <v>16554.844799999999</v>
      </c>
      <c r="AN84" s="88">
        <f t="shared" si="271"/>
        <v>0</v>
      </c>
      <c r="AO84" s="88">
        <f t="shared" si="271"/>
        <v>0</v>
      </c>
      <c r="AP84" s="88">
        <f t="shared" si="271"/>
        <v>0</v>
      </c>
      <c r="AQ84" s="88">
        <f t="shared" si="271"/>
        <v>0</v>
      </c>
      <c r="AR84" s="88">
        <f t="shared" si="271"/>
        <v>0</v>
      </c>
      <c r="AS84" s="88">
        <f t="shared" si="271"/>
        <v>0</v>
      </c>
      <c r="AT84" s="88">
        <f t="shared" si="271"/>
        <v>0</v>
      </c>
      <c r="AU84" s="88">
        <f t="shared" si="271"/>
        <v>0</v>
      </c>
      <c r="AV84" s="88">
        <f t="shared" si="271"/>
        <v>0</v>
      </c>
      <c r="AW84" s="88">
        <f t="shared" si="271"/>
        <v>0</v>
      </c>
      <c r="AX84" s="88">
        <f t="shared" si="271"/>
        <v>0</v>
      </c>
      <c r="AY84" s="88">
        <f t="shared" si="271"/>
        <v>16885.941695999998</v>
      </c>
      <c r="AZ84" s="88">
        <f t="shared" si="271"/>
        <v>0</v>
      </c>
      <c r="BA84" s="88">
        <f t="shared" si="271"/>
        <v>0</v>
      </c>
      <c r="BB84" s="88">
        <f t="shared" si="271"/>
        <v>0</v>
      </c>
      <c r="BC84" s="88">
        <f t="shared" si="271"/>
        <v>0</v>
      </c>
      <c r="BD84" s="88">
        <f t="shared" si="271"/>
        <v>0</v>
      </c>
      <c r="BE84" s="88">
        <f t="shared" si="271"/>
        <v>0</v>
      </c>
      <c r="BF84" s="88">
        <f t="shared" si="271"/>
        <v>0</v>
      </c>
      <c r="BG84" s="88">
        <f t="shared" si="271"/>
        <v>0</v>
      </c>
      <c r="BH84" s="88">
        <f t="shared" si="271"/>
        <v>0</v>
      </c>
      <c r="BI84" s="88">
        <f t="shared" si="271"/>
        <v>0</v>
      </c>
      <c r="BJ84" s="88">
        <f t="shared" si="271"/>
        <v>0</v>
      </c>
      <c r="BK84" s="88">
        <f t="shared" si="271"/>
        <v>17223.660529920002</v>
      </c>
      <c r="BL84" s="88">
        <f t="shared" si="271"/>
        <v>0</v>
      </c>
      <c r="BM84" s="88">
        <f t="shared" si="271"/>
        <v>0</v>
      </c>
      <c r="BN84" s="88">
        <f t="shared" si="271"/>
        <v>0</v>
      </c>
      <c r="BO84" s="88">
        <f t="shared" si="271"/>
        <v>0</v>
      </c>
      <c r="BP84" s="88">
        <f t="shared" ref="BP84:EA84" si="272">SUM(BP78:BP83)</f>
        <v>0</v>
      </c>
      <c r="BQ84" s="88">
        <f t="shared" si="272"/>
        <v>0</v>
      </c>
      <c r="BR84" s="88">
        <f t="shared" si="272"/>
        <v>0</v>
      </c>
      <c r="BS84" s="88">
        <f t="shared" si="272"/>
        <v>0</v>
      </c>
      <c r="BT84" s="88">
        <f t="shared" si="272"/>
        <v>0</v>
      </c>
      <c r="BU84" s="88">
        <f t="shared" si="272"/>
        <v>0</v>
      </c>
      <c r="BV84" s="88">
        <f t="shared" si="272"/>
        <v>0</v>
      </c>
      <c r="BW84" s="88">
        <f t="shared" si="272"/>
        <v>17568.133740518402</v>
      </c>
      <c r="BX84" s="88">
        <f t="shared" si="272"/>
        <v>0</v>
      </c>
      <c r="BY84" s="88">
        <f t="shared" si="272"/>
        <v>0</v>
      </c>
      <c r="BZ84" s="88">
        <f t="shared" si="272"/>
        <v>0</v>
      </c>
      <c r="CA84" s="88">
        <f t="shared" si="272"/>
        <v>0</v>
      </c>
      <c r="CB84" s="88">
        <f t="shared" si="272"/>
        <v>0</v>
      </c>
      <c r="CC84" s="88">
        <f t="shared" si="272"/>
        <v>0</v>
      </c>
      <c r="CD84" s="88">
        <f t="shared" si="272"/>
        <v>0</v>
      </c>
      <c r="CE84" s="88">
        <f t="shared" si="272"/>
        <v>0</v>
      </c>
      <c r="CF84" s="88">
        <f t="shared" si="272"/>
        <v>0</v>
      </c>
      <c r="CG84" s="88">
        <f t="shared" si="272"/>
        <v>0</v>
      </c>
      <c r="CH84" s="88">
        <f t="shared" si="272"/>
        <v>0</v>
      </c>
      <c r="CI84" s="88">
        <f t="shared" si="272"/>
        <v>17919.496415328766</v>
      </c>
      <c r="CJ84" s="88">
        <f t="shared" si="272"/>
        <v>0</v>
      </c>
      <c r="CK84" s="88">
        <f t="shared" si="272"/>
        <v>0</v>
      </c>
      <c r="CL84" s="88">
        <f t="shared" si="272"/>
        <v>0</v>
      </c>
      <c r="CM84" s="88">
        <f t="shared" si="272"/>
        <v>0</v>
      </c>
      <c r="CN84" s="88">
        <f t="shared" si="272"/>
        <v>0</v>
      </c>
      <c r="CO84" s="88">
        <f t="shared" si="272"/>
        <v>0</v>
      </c>
      <c r="CP84" s="88">
        <f t="shared" si="272"/>
        <v>0</v>
      </c>
      <c r="CQ84" s="88">
        <f t="shared" si="272"/>
        <v>0</v>
      </c>
      <c r="CR84" s="88">
        <f t="shared" si="272"/>
        <v>0</v>
      </c>
      <c r="CS84" s="88">
        <f t="shared" si="272"/>
        <v>0</v>
      </c>
      <c r="CT84" s="88">
        <f t="shared" si="272"/>
        <v>0</v>
      </c>
      <c r="CU84" s="88">
        <f t="shared" si="272"/>
        <v>18277.886343635342</v>
      </c>
      <c r="CV84" s="88">
        <f t="shared" si="272"/>
        <v>0</v>
      </c>
      <c r="CW84" s="88">
        <f t="shared" si="272"/>
        <v>0</v>
      </c>
      <c r="CX84" s="88">
        <f t="shared" si="272"/>
        <v>0</v>
      </c>
      <c r="CY84" s="88">
        <f t="shared" si="272"/>
        <v>0</v>
      </c>
      <c r="CZ84" s="88">
        <f t="shared" si="272"/>
        <v>0</v>
      </c>
      <c r="DA84" s="88">
        <f t="shared" si="272"/>
        <v>0</v>
      </c>
      <c r="DB84" s="88">
        <f t="shared" si="272"/>
        <v>0</v>
      </c>
      <c r="DC84" s="88">
        <f t="shared" si="272"/>
        <v>0</v>
      </c>
      <c r="DD84" s="88">
        <f t="shared" si="272"/>
        <v>0</v>
      </c>
      <c r="DE84" s="88">
        <f t="shared" si="272"/>
        <v>0</v>
      </c>
      <c r="DF84" s="88">
        <f t="shared" si="272"/>
        <v>0</v>
      </c>
      <c r="DG84" s="88">
        <f t="shared" si="272"/>
        <v>18643.444070508049</v>
      </c>
      <c r="DH84" s="88">
        <f t="shared" si="272"/>
        <v>0</v>
      </c>
      <c r="DI84" s="88">
        <f t="shared" si="272"/>
        <v>0</v>
      </c>
      <c r="DJ84" s="88">
        <f t="shared" si="272"/>
        <v>0</v>
      </c>
      <c r="DK84" s="88">
        <f t="shared" si="272"/>
        <v>0</v>
      </c>
      <c r="DL84" s="88">
        <f t="shared" si="272"/>
        <v>0</v>
      </c>
      <c r="DM84" s="88">
        <f t="shared" si="272"/>
        <v>0</v>
      </c>
      <c r="DN84" s="88">
        <f t="shared" si="272"/>
        <v>0</v>
      </c>
      <c r="DO84" s="88">
        <f t="shared" si="272"/>
        <v>0</v>
      </c>
      <c r="DP84" s="88">
        <f t="shared" si="272"/>
        <v>0</v>
      </c>
      <c r="DQ84" s="88">
        <f t="shared" si="272"/>
        <v>0</v>
      </c>
      <c r="DR84" s="88">
        <f t="shared" si="272"/>
        <v>0</v>
      </c>
      <c r="DS84" s="88">
        <f t="shared" si="272"/>
        <v>19016.312951918211</v>
      </c>
      <c r="DT84" s="88">
        <f t="shared" si="272"/>
        <v>0</v>
      </c>
      <c r="DU84" s="88">
        <f t="shared" si="272"/>
        <v>0</v>
      </c>
      <c r="DV84" s="88">
        <f t="shared" si="272"/>
        <v>0</v>
      </c>
      <c r="DW84" s="88">
        <f t="shared" si="272"/>
        <v>0</v>
      </c>
      <c r="DX84" s="88">
        <f t="shared" si="272"/>
        <v>0</v>
      </c>
      <c r="DY84" s="88">
        <f t="shared" si="272"/>
        <v>0</v>
      </c>
      <c r="DZ84" s="88">
        <f t="shared" si="272"/>
        <v>0</v>
      </c>
      <c r="EA84" s="88">
        <f t="shared" si="272"/>
        <v>0</v>
      </c>
      <c r="EB84" s="88">
        <f t="shared" ref="EB84:FZ84" si="273">SUM(EB78:EB83)</f>
        <v>0</v>
      </c>
      <c r="EC84" s="88">
        <f t="shared" si="273"/>
        <v>0</v>
      </c>
      <c r="ED84" s="88">
        <f t="shared" si="273"/>
        <v>0</v>
      </c>
      <c r="EE84" s="88">
        <f t="shared" si="273"/>
        <v>19396.639210956571</v>
      </c>
      <c r="EF84" s="88">
        <f t="shared" si="273"/>
        <v>0</v>
      </c>
      <c r="EG84" s="88">
        <f t="shared" si="273"/>
        <v>0</v>
      </c>
      <c r="EH84" s="88">
        <f t="shared" si="273"/>
        <v>0</v>
      </c>
      <c r="EI84" s="88">
        <f t="shared" si="273"/>
        <v>0</v>
      </c>
      <c r="EJ84" s="88">
        <f t="shared" si="273"/>
        <v>0</v>
      </c>
      <c r="EK84" s="88">
        <f t="shared" si="273"/>
        <v>0</v>
      </c>
      <c r="EL84" s="88">
        <f t="shared" si="273"/>
        <v>0</v>
      </c>
      <c r="EM84" s="88">
        <f t="shared" si="273"/>
        <v>0</v>
      </c>
      <c r="EN84" s="88">
        <f t="shared" si="273"/>
        <v>0</v>
      </c>
      <c r="EO84" s="88">
        <f t="shared" si="273"/>
        <v>0</v>
      </c>
      <c r="EP84" s="88">
        <f t="shared" si="273"/>
        <v>0</v>
      </c>
      <c r="EQ84" s="88">
        <f t="shared" si="273"/>
        <v>19784.571995175706</v>
      </c>
      <c r="ER84" s="88">
        <f t="shared" si="273"/>
        <v>0</v>
      </c>
      <c r="ES84" s="88">
        <f t="shared" si="273"/>
        <v>0</v>
      </c>
      <c r="ET84" s="88">
        <f t="shared" si="273"/>
        <v>0</v>
      </c>
      <c r="EU84" s="88">
        <f t="shared" si="273"/>
        <v>0</v>
      </c>
      <c r="EV84" s="88">
        <f t="shared" si="273"/>
        <v>0</v>
      </c>
      <c r="EW84" s="88">
        <f t="shared" si="273"/>
        <v>0</v>
      </c>
      <c r="EX84" s="88">
        <f t="shared" si="273"/>
        <v>0</v>
      </c>
      <c r="EY84" s="88">
        <f t="shared" si="273"/>
        <v>0</v>
      </c>
      <c r="EZ84" s="88">
        <f t="shared" si="273"/>
        <v>0</v>
      </c>
      <c r="FA84" s="88">
        <f t="shared" si="273"/>
        <v>0</v>
      </c>
      <c r="FB84" s="88">
        <f t="shared" si="273"/>
        <v>0</v>
      </c>
      <c r="FC84" s="88">
        <f t="shared" si="273"/>
        <v>20180.263435079218</v>
      </c>
      <c r="FD84" s="88">
        <f t="shared" si="273"/>
        <v>0</v>
      </c>
      <c r="FE84" s="88">
        <f t="shared" si="273"/>
        <v>0</v>
      </c>
      <c r="FF84" s="88">
        <f t="shared" si="273"/>
        <v>0</v>
      </c>
      <c r="FG84" s="88">
        <f t="shared" si="273"/>
        <v>0</v>
      </c>
      <c r="FH84" s="88">
        <f t="shared" si="273"/>
        <v>0</v>
      </c>
      <c r="FI84" s="88">
        <f t="shared" si="273"/>
        <v>0</v>
      </c>
      <c r="FJ84" s="88">
        <f t="shared" si="273"/>
        <v>0</v>
      </c>
      <c r="FK84" s="88">
        <f t="shared" si="273"/>
        <v>0</v>
      </c>
      <c r="FL84" s="88">
        <f t="shared" si="273"/>
        <v>0</v>
      </c>
      <c r="FM84" s="88">
        <f t="shared" si="273"/>
        <v>0</v>
      </c>
      <c r="FN84" s="88">
        <f t="shared" si="273"/>
        <v>0</v>
      </c>
      <c r="FO84" s="88">
        <f t="shared" si="273"/>
        <v>20583.868703780801</v>
      </c>
      <c r="FP84" s="88">
        <f t="shared" si="273"/>
        <v>0</v>
      </c>
      <c r="FQ84" s="88">
        <f t="shared" si="273"/>
        <v>0</v>
      </c>
      <c r="FR84" s="88">
        <f t="shared" si="273"/>
        <v>0</v>
      </c>
      <c r="FS84" s="88">
        <f t="shared" si="273"/>
        <v>0</v>
      </c>
      <c r="FT84" s="88">
        <f t="shared" si="273"/>
        <v>0</v>
      </c>
      <c r="FU84" s="88">
        <f t="shared" si="273"/>
        <v>0</v>
      </c>
      <c r="FV84" s="88">
        <f t="shared" si="273"/>
        <v>0</v>
      </c>
      <c r="FW84" s="88">
        <f t="shared" si="273"/>
        <v>0</v>
      </c>
      <c r="FX84" s="88">
        <f t="shared" si="273"/>
        <v>0</v>
      </c>
      <c r="FY84" s="88">
        <f t="shared" si="273"/>
        <v>0</v>
      </c>
      <c r="FZ84" s="89">
        <f t="shared" si="273"/>
        <v>0</v>
      </c>
    </row>
  </sheetData>
  <mergeCells count="1">
    <mergeCell ref="P3:R3"/>
  </mergeCells>
  <conditionalFormatting sqref="C40:FZ44">
    <cfRule type="cellIs" dxfId="9" priority="1" operator="equal">
      <formula>TRUE</formula>
    </cfRule>
    <cfRule type="cellIs" dxfId="8" priority="2" operator="equal">
      <formula>FALSE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B11E-BF1C-0A40-BCF6-647265F39EA3}">
  <sheetPr>
    <tabColor theme="8" tint="0.79998168889431442"/>
  </sheetPr>
  <dimension ref="B2:W6"/>
  <sheetViews>
    <sheetView workbookViewId="0"/>
  </sheetViews>
  <sheetFormatPr baseColWidth="10" defaultRowHeight="16" x14ac:dyDescent="0.2"/>
  <cols>
    <col min="2" max="2" width="10.83203125" customWidth="1"/>
    <col min="3" max="3" width="19.33203125" bestFit="1" customWidth="1"/>
    <col min="4" max="4" width="16.33203125" bestFit="1" customWidth="1"/>
    <col min="5" max="5" width="12" bestFit="1" customWidth="1"/>
    <col min="6" max="6" width="10.83203125" customWidth="1"/>
    <col min="7" max="7" width="15" bestFit="1" customWidth="1"/>
    <col min="9" max="9" width="10.83203125" customWidth="1"/>
    <col min="10" max="10" width="15" bestFit="1" customWidth="1"/>
    <col min="11" max="12" width="10.83203125" customWidth="1"/>
    <col min="13" max="14" width="14" bestFit="1" customWidth="1"/>
    <col min="15" max="15" width="15" bestFit="1" customWidth="1"/>
    <col min="16" max="16" width="10.83203125" customWidth="1"/>
    <col min="17" max="17" width="14.33203125" customWidth="1"/>
    <col min="19" max="19" width="10.83203125" customWidth="1"/>
    <col min="20" max="20" width="15" bestFit="1" customWidth="1"/>
    <col min="21" max="22" width="10.83203125" customWidth="1"/>
  </cols>
  <sheetData>
    <row r="2" spans="2:23" x14ac:dyDescent="0.2">
      <c r="B2" s="43" t="s">
        <v>187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2"/>
    </row>
    <row r="3" spans="2:23" x14ac:dyDescent="0.2">
      <c r="B3" s="4"/>
      <c r="C3" s="214" t="s">
        <v>187</v>
      </c>
      <c r="D3" s="215"/>
      <c r="E3" s="215"/>
      <c r="F3" s="216"/>
      <c r="G3" s="217" t="s">
        <v>197</v>
      </c>
      <c r="H3" s="218"/>
      <c r="I3" s="218"/>
      <c r="J3" s="218"/>
      <c r="K3" s="218"/>
      <c r="L3" s="219" t="s">
        <v>21</v>
      </c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6"/>
    </row>
    <row r="4" spans="2:23" ht="34" x14ac:dyDescent="0.2">
      <c r="B4" s="138" t="s">
        <v>198</v>
      </c>
      <c r="C4" s="40" t="s">
        <v>0</v>
      </c>
      <c r="D4" s="34" t="s">
        <v>54</v>
      </c>
      <c r="E4" s="34" t="s">
        <v>188</v>
      </c>
      <c r="F4" s="35" t="s">
        <v>189</v>
      </c>
      <c r="G4" s="36" t="s">
        <v>18</v>
      </c>
      <c r="H4" s="37" t="s">
        <v>190</v>
      </c>
      <c r="I4" s="37" t="s">
        <v>191</v>
      </c>
      <c r="J4" s="37" t="s">
        <v>23</v>
      </c>
      <c r="K4" s="37" t="s">
        <v>192</v>
      </c>
      <c r="L4" s="38" t="s">
        <v>24</v>
      </c>
      <c r="M4" s="39" t="s">
        <v>193</v>
      </c>
      <c r="N4" s="39" t="s">
        <v>194</v>
      </c>
      <c r="O4" s="39" t="s">
        <v>195</v>
      </c>
      <c r="P4" s="39" t="s">
        <v>25</v>
      </c>
      <c r="Q4" s="39" t="s">
        <v>26</v>
      </c>
      <c r="R4" s="39" t="s">
        <v>27</v>
      </c>
      <c r="S4" s="39" t="s">
        <v>28</v>
      </c>
      <c r="T4" s="39" t="s">
        <v>199</v>
      </c>
      <c r="U4" s="39" t="s">
        <v>7</v>
      </c>
      <c r="V4" s="39" t="s">
        <v>196</v>
      </c>
      <c r="W4" s="6"/>
    </row>
    <row r="5" spans="2:23" x14ac:dyDescent="0.2">
      <c r="B5" s="4">
        <v>1</v>
      </c>
      <c r="C5" s="41" t="str">
        <f>Property_Name</f>
        <v>XYZ Condos</v>
      </c>
      <c r="D5" s="5" t="str">
        <f>'Property Summary'!$C$4</f>
        <v>Grand Cayman, CI</v>
      </c>
      <c r="E5" s="33" t="str">
        <f>TEXT('Property Summary'!$I$27,"#,##0")&amp;" "&amp;'Property Summary'!I26</f>
        <v>62,520 SQFT</v>
      </c>
      <c r="F5" s="17">
        <f>'Property Summary'!$C$5</f>
        <v>0.89</v>
      </c>
      <c r="G5" s="137">
        <f>Purchase_Price</f>
        <v>35382269.046153843</v>
      </c>
      <c r="H5" s="17">
        <f>'Property Summary'!$F$7</f>
        <v>6.5000000000000002E-2</v>
      </c>
      <c r="I5" s="137">
        <f>'Property Summary'!C19/'Property Summary'!I27</f>
        <v>676.92189872138874</v>
      </c>
      <c r="J5" s="137">
        <f>IF(B5="","",T5-O5+(O5*V5))</f>
        <v>19658791.736615382</v>
      </c>
      <c r="K5" s="17">
        <f>'Property Summary'!$F$5</f>
        <v>0.01</v>
      </c>
      <c r="L5" s="17">
        <f>'Property Summary'!$F$26</f>
        <v>7.2499999999999995E-2</v>
      </c>
      <c r="M5" s="139">
        <f>IF(B5="","",-PMT((L5/12),(Q5-P5)*12,O5)*12)</f>
        <v>1331880.9691817092</v>
      </c>
      <c r="N5" s="137">
        <f>IF(B5="","",O5*L5)</f>
        <v>1179575</v>
      </c>
      <c r="O5" s="137">
        <f>Debt</f>
        <v>16270000</v>
      </c>
      <c r="P5" s="140">
        <f>'Property Summary'!F27</f>
        <v>0</v>
      </c>
      <c r="Q5" s="140">
        <f>'Property Summary'!F28</f>
        <v>30</v>
      </c>
      <c r="R5" s="140">
        <f>'Property Summary'!F29</f>
        <v>10</v>
      </c>
      <c r="S5" s="17">
        <f>'Property Summary'!F20</f>
        <v>0.45983483927435109</v>
      </c>
      <c r="T5" s="137">
        <f>IF(B5="","",G5+(G5*K5)+U5)</f>
        <v>35766091.736615382</v>
      </c>
      <c r="U5" s="141">
        <f>'Property Summary'!$F$4</f>
        <v>30000</v>
      </c>
      <c r="V5" s="17">
        <f>'Property Summary'!$F$30</f>
        <v>0.01</v>
      </c>
      <c r="W5" s="6"/>
    </row>
    <row r="6" spans="2:23" x14ac:dyDescent="0.2">
      <c r="B6" s="7"/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9"/>
    </row>
  </sheetData>
  <mergeCells count="3">
    <mergeCell ref="C3:F3"/>
    <mergeCell ref="G3:K3"/>
    <mergeCell ref="L3:V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17</vt:i4>
      </vt:variant>
    </vt:vector>
  </HeadingPairs>
  <TitlesOfParts>
    <vt:vector size="26" baseType="lpstr">
      <vt:lpstr>Property Summary</vt:lpstr>
      <vt:lpstr>Rent Roll</vt:lpstr>
      <vt:lpstr>Expenses</vt:lpstr>
      <vt:lpstr>Annual Cash Flow</vt:lpstr>
      <vt:lpstr>Property Returns</vt:lpstr>
      <vt:lpstr>Investor Returns</vt:lpstr>
      <vt:lpstr>Debt</vt:lpstr>
      <vt:lpstr>Calculations</vt:lpstr>
      <vt:lpstr>Property Assumptions</vt:lpstr>
      <vt:lpstr>Analysis_Period</vt:lpstr>
      <vt:lpstr>Analysis_Start</vt:lpstr>
      <vt:lpstr>Basis</vt:lpstr>
      <vt:lpstr>Debt</vt:lpstr>
      <vt:lpstr>Discount_Rate</vt:lpstr>
      <vt:lpstr>Effective_Hold_Period</vt:lpstr>
      <vt:lpstr>Equity_Share_LPs</vt:lpstr>
      <vt:lpstr>Equity_Share_Sponsor</vt:lpstr>
      <vt:lpstr>GP_Only_No_LPs</vt:lpstr>
      <vt:lpstr>Initial_Equity</vt:lpstr>
      <vt:lpstr>Preferred_Return</vt:lpstr>
      <vt:lpstr>Promote_Method</vt:lpstr>
      <vt:lpstr>Property_Name</vt:lpstr>
      <vt:lpstr>Purchase_Price</vt:lpstr>
      <vt:lpstr>Terminal_Cap_Year</vt:lpstr>
      <vt:lpstr>Total_Equity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Palmer</dc:creator>
  <cp:lastModifiedBy>Sam Palmer</cp:lastModifiedBy>
  <dcterms:created xsi:type="dcterms:W3CDTF">2026-02-19T20:56:28Z</dcterms:created>
  <dcterms:modified xsi:type="dcterms:W3CDTF">2026-02-25T21:32:30Z</dcterms:modified>
</cp:coreProperties>
</file>